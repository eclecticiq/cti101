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Woodruff\OneDrive - EclecticIQ\Documents\staircase_ach\"/>
    </mc:Choice>
  </mc:AlternateContent>
  <xr:revisionPtr revIDLastSave="75" documentId="8_{53F2615A-31D4-4649-BCB2-CB10D43303F3}" xr6:coauthVersionLast="45" xr6:coauthVersionMax="45" xr10:uidLastSave="{838A8A46-90D6-4D37-BED6-C710A998DEB6}"/>
  <workbookProtection lockStructure="1"/>
  <bookViews>
    <workbookView xWindow="0" yWindow="0" windowWidth="28680" windowHeight="10320" activeTab="3" xr2:uid="{00000000-000D-0000-FFFF-FFFF00000000}"/>
  </bookViews>
  <sheets>
    <sheet name="Analysis" sheetId="7" r:id="rId1"/>
    <sheet name="Results" sheetId="12" r:id="rId2"/>
    <sheet name="Labels" sheetId="8" r:id="rId3"/>
    <sheet name="Calculations" sheetId="11" r:id="rId4"/>
  </sheets>
  <definedNames>
    <definedName name="Credibility">Labels!$D$3:$E$8</definedName>
    <definedName name="Determination">Labels!$A$3:$B$7</definedName>
    <definedName name="Relavancy">Labels!$J$3:$K$8</definedName>
    <definedName name="Reliability">Labels!$G$3:$H$8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2" l="1"/>
  <c r="E3" i="12"/>
  <c r="D3" i="12"/>
  <c r="C3" i="12"/>
  <c r="B3" i="12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F2" i="11"/>
  <c r="E2" i="11"/>
  <c r="D2" i="11"/>
  <c r="C2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D4" i="12" l="1"/>
  <c r="E4" i="12"/>
  <c r="F4" i="12"/>
  <c r="B4" i="12"/>
  <c r="C4" i="12"/>
</calcChain>
</file>

<file path=xl/sharedStrings.xml><?xml version="1.0" encoding="utf-8"?>
<sst xmlns="http://schemas.openxmlformats.org/spreadsheetml/2006/main" count="565" uniqueCount="95">
  <si>
    <t>Hypothesis</t>
  </si>
  <si>
    <t>H1</t>
  </si>
  <si>
    <t>H2</t>
  </si>
  <si>
    <t>H3</t>
  </si>
  <si>
    <t>H4</t>
  </si>
  <si>
    <t>Evidence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</si>
  <si>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</si>
  <si>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</si>
  <si>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</si>
  <si>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</si>
  <si>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</si>
  <si>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</si>
  <si>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</si>
  <si>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</si>
  <si>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</si>
  <si>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</si>
  <si>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</si>
  <si>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</si>
  <si>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</si>
  <si>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</si>
  <si>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</si>
  <si>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</si>
  <si>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Neutral</t>
  </si>
  <si>
    <t>Supports</t>
  </si>
  <si>
    <t>Description</t>
  </si>
  <si>
    <t>Number</t>
  </si>
  <si>
    <t>Determination</t>
  </si>
  <si>
    <t>Credibility</t>
  </si>
  <si>
    <t>Relevance</t>
  </si>
  <si>
    <t>Select One</t>
  </si>
  <si>
    <t>High</t>
  </si>
  <si>
    <t>Medium</t>
  </si>
  <si>
    <t>Low</t>
  </si>
  <si>
    <t>Score</t>
  </si>
  <si>
    <t>H5</t>
  </si>
  <si>
    <t>Date</t>
  </si>
  <si>
    <t>Analyst</t>
  </si>
  <si>
    <t>Link to Evidence</t>
  </si>
  <si>
    <t>Notes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</si>
  <si>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</si>
  <si>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</si>
  <si>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</si>
  <si>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</si>
  <si>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</si>
  <si>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</si>
  <si>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</si>
  <si>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</si>
  <si>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</si>
  <si>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</si>
  <si>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</si>
  <si>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</si>
  <si>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</si>
  <si>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</si>
  <si>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</si>
  <si>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</si>
  <si>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</si>
  <si>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</si>
  <si>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</si>
  <si>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</si>
  <si>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</si>
  <si>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</si>
  <si>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</si>
  <si>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</si>
  <si>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</si>
  <si>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</si>
  <si>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</si>
  <si>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</si>
  <si>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</si>
  <si>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</si>
  <si>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</si>
  <si>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</si>
  <si>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</si>
  <si>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</si>
  <si>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Time</t>
  </si>
  <si>
    <t>Confirmed by Other Sources</t>
  </si>
  <si>
    <t>Probably True</t>
  </si>
  <si>
    <t>Possibly True</t>
  </si>
  <si>
    <t>Doubtful</t>
  </si>
  <si>
    <t>Improbable</t>
  </si>
  <si>
    <t>Truth Cannot be Judged</t>
  </si>
  <si>
    <t>Reliability</t>
  </si>
  <si>
    <t>Relavancy</t>
  </si>
  <si>
    <t>Completely Reliable</t>
  </si>
  <si>
    <t>Usually Reliable</t>
  </si>
  <si>
    <t>Fairly Reliable</t>
  </si>
  <si>
    <t>Not Usually Reliable</t>
  </si>
  <si>
    <t>Unreliable</t>
  </si>
  <si>
    <t>Very High</t>
  </si>
  <si>
    <t>Very Low</t>
  </si>
  <si>
    <t>Irrelevant</t>
  </si>
  <si>
    <t>Heavily Supports</t>
  </si>
  <si>
    <t>Refutes</t>
  </si>
  <si>
    <t>Heavilty Refutes</t>
  </si>
  <si>
    <t>Enter Hypothesis</t>
  </si>
  <si>
    <t>Reliability Cannot be Judged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</si>
</sst>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\-mmm\-yy;@"/>
    <numFmt numFmtId="165" formatCode="h:mm;@"/>
  </numFmts>
  <fonts count="19">
    <font>
      <sz val="10"/>
      <color theme="1"/>
      <name val="Roboto"/>
      <family val="2"/>
      <scheme val="minor"/>
    </font>
    <font>
      <sz val="11"/>
      <color theme="1"/>
      <name val="Roboto"/>
      <family val="2"/>
      <scheme val="minor"/>
    </font>
    <font>
      <sz val="14"/>
      <color theme="1"/>
      <name val="Roboto"/>
      <family val="2"/>
      <scheme val="minor"/>
    </font>
    <font>
      <sz val="8"/>
      <name val="Roboto"/>
      <family val="2"/>
      <scheme val="minor"/>
    </font>
    <font>
      <sz val="14"/>
      <color theme="9"/>
      <name val="Roboto"/>
    </font>
    <font>
      <sz val="11"/>
      <color theme="9"/>
      <name val="Roboto"/>
      <scheme val="minor"/>
    </font>
    <font>
      <sz val="14"/>
      <color theme="9"/>
      <name val="Roboto"/>
      <scheme val="minor"/>
    </font>
    <font>
      <sz val="16"/>
      <color theme="9"/>
      <name val="Roboto"/>
      <scheme val="minor"/>
    </font>
    <font>
      <sz val="36"/>
      <color theme="0"/>
      <name val="Roboto"/>
      <family val="2"/>
      <scheme val="minor"/>
    </font>
    <font>
      <sz val="16"/>
      <color theme="0"/>
      <name val="Roboto"/>
      <scheme val="minor"/>
    </font>
    <font>
      <sz val="16"/>
      <color theme="0"/>
      <name val="Roboto"/>
      <family val="2"/>
      <scheme val="minor"/>
    </font>
    <font>
      <sz val="36"/>
      <color theme="0"/>
      <name val="Roboto"/>
      <scheme val="minor"/>
    </font>
    <font>
      <sz val="16"/>
      <color theme="9"/>
      <name val="Roboto"/>
      <family val="2"/>
      <scheme val="minor"/>
    </font>
    <font>
      <sz val="16"/>
      <color theme="1"/>
      <name val="Roboto"/>
      <family val="2"/>
      <scheme val="minor"/>
    </font>
    <font>
      <sz val="16"/>
      <color theme="4" tint="0.79998168889431442"/>
      <name val="Roboto"/>
      <family val="2"/>
      <scheme val="minor"/>
    </font>
    <font>
      <sz val="16"/>
      <color theme="4" tint="0.79998168889431442"/>
      <name val="Roboto"/>
      <scheme val="minor"/>
    </font>
    <font>
      <sz val="20"/>
      <color theme="4" tint="0.79998168889431442"/>
      <name val="Roboto"/>
      <scheme val="minor"/>
    </font>
    <font>
      <sz val="14"/>
      <color theme="9"/>
      <name val="Roboto"/>
      <family val="2"/>
    </font>
    <font>
      <sz val="11"/>
      <color theme="2"/>
      <name val="Roboto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  <protection locked="0"/>
    </xf>
  </cellStyleXfs>
  <cellXfs count="62">
    <xf numFmtId="0" fontId="0" fillId="0" borderId="0" xfId="0">
      <alignment vertical="top"/>
    </xf>
    <xf numFmtId="0" fontId="1" fillId="0" borderId="0" xfId="1">
      <alignment vertical="top"/>
      <protection locked="0"/>
    </xf>
    <xf numFmtId="0" fontId="1" fillId="0" borderId="0" xfId="1" applyFill="1">
      <alignment vertical="top"/>
      <protection locked="0"/>
    </xf>
    <xf numFmtId="0" fontId="1" fillId="3" borderId="0" xfId="1" applyFill="1">
      <alignment vertical="top"/>
      <protection locked="0"/>
    </xf>
    <xf numFmtId="0" fontId="4" fillId="0" borderId="1" xfId="0" applyFont="1" applyFill="1" applyBorder="1" applyAlignment="1">
      <alignment horizontal="left" vertical="center" wrapText="1" readingOrder="1"/>
    </xf>
    <xf numFmtId="0" fontId="4" fillId="0" borderId="5" xfId="0" applyFont="1" applyFill="1" applyBorder="1" applyAlignment="1">
      <alignment horizontal="left" vertical="center" wrapText="1" readingOrder="1"/>
    </xf>
    <xf numFmtId="0" fontId="15" fillId="2" borderId="1" xfId="1" applyFont="1" applyFill="1" applyBorder="1" applyAlignment="1">
      <alignment wrapText="1"/>
      <protection locked="0"/>
    </xf>
    <xf numFmtId="0" fontId="4" fillId="0" borderId="4" xfId="0" applyFont="1" applyFill="1" applyBorder="1" applyAlignment="1">
      <alignment horizontal="left" vertical="center" wrapText="1" readingOrder="1"/>
    </xf>
    <xf numFmtId="0" fontId="5" fillId="0" borderId="1" xfId="1" applyFont="1" applyFill="1" applyBorder="1" applyAlignment="1">
      <alignment horizontal="center" vertical="top"/>
      <protection locked="0"/>
    </xf>
    <xf numFmtId="0" fontId="4" fillId="0" borderId="9" xfId="0" applyFont="1" applyFill="1" applyBorder="1" applyAlignment="1">
      <alignment horizontal="left" vertical="center" wrapText="1" readingOrder="1"/>
    </xf>
    <xf numFmtId="0" fontId="5" fillId="0" borderId="9" xfId="1" applyFont="1" applyFill="1" applyBorder="1" applyAlignment="1">
      <alignment horizontal="center" vertical="top"/>
      <protection locked="0"/>
    </xf>
    <xf numFmtId="0" fontId="4" fillId="0" borderId="15" xfId="0" applyFont="1" applyFill="1" applyBorder="1" applyAlignment="1">
      <alignment horizontal="left" vertical="center" wrapText="1" readingOrder="1"/>
    </xf>
    <xf numFmtId="0" fontId="4" fillId="0" borderId="2" xfId="0" applyFont="1" applyFill="1" applyBorder="1" applyAlignment="1">
      <alignment horizontal="center" vertical="center" wrapText="1" readingOrder="1"/>
    </xf>
    <xf numFmtId="0" fontId="6" fillId="0" borderId="1" xfId="1" applyFont="1" applyBorder="1" applyAlignment="1">
      <alignment horizontal="center" vertical="center"/>
      <protection locked="0"/>
    </xf>
    <xf numFmtId="0" fontId="6" fillId="0" borderId="1" xfId="1" applyFont="1" applyFill="1" applyBorder="1" applyAlignment="1">
      <alignment horizontal="center" vertical="top"/>
      <protection locked="0"/>
    </xf>
    <xf numFmtId="0" fontId="4" fillId="0" borderId="1" xfId="0" applyFont="1" applyFill="1" applyBorder="1" applyAlignment="1">
      <alignment horizontal="center" vertical="center" wrapText="1" readingOrder="1"/>
    </xf>
    <xf numFmtId="0" fontId="6" fillId="0" borderId="9" xfId="1" applyFont="1" applyFill="1" applyBorder="1" applyAlignment="1">
      <alignment horizontal="center" vertical="top"/>
      <protection locked="0"/>
    </xf>
    <xf numFmtId="0" fontId="6" fillId="0" borderId="13" xfId="1" applyFont="1" applyFill="1" applyBorder="1" applyAlignment="1">
      <alignment horizontal="center" vertical="top"/>
      <protection locked="0"/>
    </xf>
    <xf numFmtId="0" fontId="6" fillId="0" borderId="14" xfId="1" applyFont="1" applyFill="1" applyBorder="1" applyAlignment="1">
      <alignment horizontal="center" vertical="top"/>
      <protection locked="0"/>
    </xf>
    <xf numFmtId="0" fontId="4" fillId="0" borderId="4" xfId="0" applyFont="1" applyFill="1" applyBorder="1" applyAlignment="1">
      <alignment horizontal="center" vertical="center" wrapText="1" readingOrder="1"/>
    </xf>
    <xf numFmtId="0" fontId="4" fillId="0" borderId="5" xfId="0" applyFont="1" applyFill="1" applyBorder="1" applyAlignment="1">
      <alignment horizontal="center" vertical="center" wrapText="1" readingOrder="1"/>
    </xf>
    <xf numFmtId="0" fontId="4" fillId="0" borderId="10" xfId="0" applyFont="1" applyFill="1" applyBorder="1" applyAlignment="1">
      <alignment horizontal="center" vertical="center" wrapText="1" readingOrder="1"/>
    </xf>
    <xf numFmtId="0" fontId="4" fillId="0" borderId="9" xfId="0" applyFont="1" applyFill="1" applyBorder="1" applyAlignment="1">
      <alignment horizontal="center" vertical="center" wrapText="1" readingOrder="1"/>
    </xf>
    <xf numFmtId="0" fontId="4" fillId="0" borderId="12" xfId="0" applyFont="1" applyFill="1" applyBorder="1" applyAlignment="1">
      <alignment horizontal="center" vertical="center" wrapText="1" readingOrder="1"/>
    </xf>
    <xf numFmtId="0" fontId="4" fillId="0" borderId="13" xfId="0" applyFont="1" applyFill="1" applyBorder="1" applyAlignment="1">
      <alignment horizontal="center" vertical="center" wrapText="1" readingOrder="1"/>
    </xf>
    <xf numFmtId="164" fontId="4" fillId="0" borderId="4" xfId="0" applyNumberFormat="1" applyFont="1" applyFill="1" applyBorder="1" applyAlignment="1">
      <alignment horizontal="center" vertical="center" wrapText="1" readingOrder="1"/>
    </xf>
    <xf numFmtId="164" fontId="4" fillId="0" borderId="5" xfId="0" applyNumberFormat="1" applyFont="1" applyFill="1" applyBorder="1" applyAlignment="1">
      <alignment horizontal="center" vertical="center" wrapText="1" readingOrder="1"/>
    </xf>
    <xf numFmtId="164" fontId="4" fillId="0" borderId="10" xfId="0" applyNumberFormat="1" applyFont="1" applyFill="1" applyBorder="1" applyAlignment="1">
      <alignment horizontal="center" vertical="center" wrapText="1" readingOrder="1"/>
    </xf>
    <xf numFmtId="164" fontId="4" fillId="0" borderId="11" xfId="0" applyNumberFormat="1" applyFont="1" applyFill="1" applyBorder="1" applyAlignment="1">
      <alignment horizontal="center" vertical="center" wrapText="1" readingOrder="1"/>
    </xf>
    <xf numFmtId="165" fontId="4" fillId="0" borderId="4" xfId="0" applyNumberFormat="1" applyFont="1" applyFill="1" applyBorder="1" applyAlignment="1">
      <alignment horizontal="center" vertical="center" wrapText="1" readingOrder="1"/>
    </xf>
    <xf numFmtId="165" fontId="4" fillId="0" borderId="5" xfId="0" applyNumberFormat="1" applyFont="1" applyFill="1" applyBorder="1" applyAlignment="1">
      <alignment horizontal="center" vertical="center" wrapText="1" readingOrder="1"/>
    </xf>
    <xf numFmtId="165" fontId="4" fillId="0" borderId="10" xfId="0" applyNumberFormat="1" applyFont="1" applyFill="1" applyBorder="1" applyAlignment="1">
      <alignment horizontal="center" vertical="center" wrapText="1" readingOrder="1"/>
    </xf>
    <xf numFmtId="165" fontId="4" fillId="0" borderId="12" xfId="0" applyNumberFormat="1" applyFont="1" applyFill="1" applyBorder="1" applyAlignment="1">
      <alignment horizontal="center" vertical="center" wrapText="1" readingOrder="1"/>
    </xf>
    <xf numFmtId="0" fontId="5" fillId="2" borderId="2" xfId="1" applyFont="1" applyFill="1" applyBorder="1" applyAlignment="1">
      <alignment horizontal="center" vertical="top"/>
      <protection locked="0"/>
    </xf>
    <xf numFmtId="0" fontId="15" fillId="2" borderId="2" xfId="1" applyFont="1" applyFill="1" applyBorder="1" applyAlignment="1">
      <alignment horizontal="left"/>
      <protection locked="0"/>
    </xf>
    <xf numFmtId="0" fontId="16" fillId="3" borderId="0" xfId="1" applyFont="1" applyFill="1">
      <alignment vertical="top"/>
      <protection locked="0"/>
    </xf>
    <xf numFmtId="0" fontId="11" fillId="3" borderId="0" xfId="1" applyFont="1" applyFill="1" applyBorder="1" applyAlignment="1" applyProtection="1">
      <alignment horizontal="left"/>
    </xf>
    <xf numFmtId="0" fontId="9" fillId="3" borderId="6" xfId="0" applyNumberFormat="1" applyFont="1" applyFill="1" applyBorder="1" applyAlignment="1" applyProtection="1">
      <alignment horizontal="left"/>
    </xf>
    <xf numFmtId="0" fontId="10" fillId="3" borderId="6" xfId="0" applyNumberFormat="1" applyFont="1" applyFill="1" applyBorder="1" applyAlignment="1" applyProtection="1">
      <alignment horizontal="left"/>
    </xf>
    <xf numFmtId="0" fontId="7" fillId="2" borderId="0" xfId="0" applyNumberFormat="1" applyFont="1" applyFill="1" applyBorder="1" applyAlignment="1" applyProtection="1">
      <alignment horizontal="left"/>
    </xf>
    <xf numFmtId="0" fontId="12" fillId="2" borderId="0" xfId="1" applyFont="1" applyFill="1" applyAlignment="1" applyProtection="1">
      <alignment horizontal="left"/>
    </xf>
    <xf numFmtId="0" fontId="9" fillId="3" borderId="0" xfId="1" applyFont="1" applyFill="1" applyBorder="1" applyAlignment="1" applyProtection="1">
      <alignment horizontal="left"/>
    </xf>
    <xf numFmtId="0" fontId="7" fillId="3" borderId="0" xfId="1" applyFont="1" applyFill="1" applyBorder="1" applyAlignment="1" applyProtection="1"/>
    <xf numFmtId="0" fontId="14" fillId="3" borderId="0" xfId="1" applyFont="1" applyFill="1" applyBorder="1" applyAlignment="1" applyProtection="1"/>
    <xf numFmtId="0" fontId="9" fillId="3" borderId="6" xfId="1" applyFont="1" applyFill="1" applyBorder="1" applyAlignment="1" applyProtection="1">
      <alignment horizontal="right" vertical="top"/>
    </xf>
    <xf numFmtId="0" fontId="9" fillId="3" borderId="8" xfId="1" applyFont="1" applyFill="1" applyBorder="1" applyAlignment="1" applyProtection="1">
      <alignment horizontal="right" vertical="top"/>
    </xf>
    <xf numFmtId="0" fontId="9" fillId="3" borderId="7" xfId="1" applyFont="1" applyFill="1" applyBorder="1" applyAlignment="1" applyProtection="1">
      <alignment horizontal="right" vertical="top"/>
    </xf>
    <xf numFmtId="0" fontId="7" fillId="2" borderId="3" xfId="1" applyFont="1" applyFill="1" applyBorder="1" applyAlignment="1" applyProtection="1">
      <alignment horizontal="left"/>
    </xf>
    <xf numFmtId="0" fontId="2" fillId="2" borderId="3" xfId="1" applyFont="1" applyFill="1" applyBorder="1" applyProtection="1">
      <alignment vertical="top"/>
    </xf>
    <xf numFmtId="0" fontId="6" fillId="0" borderId="3" xfId="1" applyFont="1" applyBorder="1" applyAlignment="1" applyProtection="1">
      <alignment vertical="top" wrapText="1"/>
    </xf>
    <xf numFmtId="0" fontId="13" fillId="0" borderId="3" xfId="1" applyFont="1" applyBorder="1" applyProtection="1">
      <alignment vertical="top"/>
    </xf>
    <xf numFmtId="0" fontId="2" fillId="0" borderId="3" xfId="1" applyFont="1" applyBorder="1" applyProtection="1">
      <alignment vertical="top"/>
    </xf>
    <xf numFmtId="0" fontId="1" fillId="2" borderId="0" xfId="1" applyFill="1">
      <alignment vertical="top"/>
      <protection locked="0"/>
    </xf>
    <xf numFmtId="0" fontId="18" fillId="3" borderId="0" xfId="1" applyFont="1" applyFill="1" applyProtection="1">
      <alignment vertical="top"/>
    </xf>
    <xf numFmtId="0" fontId="1" fillId="2" borderId="0" xfId="1" applyFill="1" applyProtection="1">
      <alignment vertical="top"/>
    </xf>
    <xf numFmtId="0" fontId="1" fillId="0" borderId="0" xfId="1" applyProtection="1">
      <alignment vertical="top"/>
    </xf>
    <xf numFmtId="165" fontId="17" fillId="0" borderId="5" xfId="0" applyNumberFormat="1" applyFont="1" applyFill="1" applyBorder="1" applyAlignment="1">
      <alignment horizontal="center" vertical="center" wrapText="1" readingOrder="1"/>
    </xf>
    <xf numFmtId="0" fontId="14" fillId="2" borderId="5" xfId="1" applyFont="1" applyFill="1" applyBorder="1" applyAlignment="1">
      <alignment wrapText="1"/>
      <protection locked="0"/>
    </xf>
    <xf numFmtId="0" fontId="17" fillId="0" borderId="5" xfId="0" applyFont="1" applyFill="1" applyBorder="1" applyAlignment="1">
      <alignment horizontal="left" vertical="center" wrapText="1" readingOrder="1"/>
    </xf>
    <xf numFmtId="0" fontId="11" fillId="3" borderId="0" xfId="1" applyFont="1" applyFill="1" applyBorder="1" applyAlignment="1" applyProtection="1">
      <alignment horizontal="left"/>
    </xf>
    <xf numFmtId="0" fontId="8" fillId="2" borderId="0" xfId="1" applyFont="1" applyFill="1" applyBorder="1" applyAlignment="1" applyProtection="1"/>
    <xf numFmtId="0" fontId="8" fillId="2" borderId="3" xfId="1" applyFont="1" applyFill="1" applyBorder="1" applyAlignment="1" applyProtection="1">
      <alignment horizontal="left"/>
    </xf>
  </cellXfs>
  <cellStyles count="2">
    <cellStyle name="Normal" xfId="0" builtinId="0" customBuiltin="1"/>
    <cellStyle name="Normal 2" xfId="1" xr:uid="{CB5F21B3-CC61-4588-B0D9-EC5C8BBC0748}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166" formatCode="m/d/yy\ 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/>
        <name val="Roboto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theme="0"/>
        <name val="Roboto"/>
      </font>
      <fill>
        <patternFill patternType="solid">
          <fgColor indexed="64"/>
          <bgColor theme="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strike val="0"/>
        <outline val="0"/>
        <shadow val="0"/>
        <u val="none"/>
        <vertAlign val="baseline"/>
        <sz val="14"/>
        <name val="Roboto"/>
      </font>
      <alignment horizontal="right" textRotation="0" indent="0" justifyLastLine="0" shrinkToFit="0"/>
    </dxf>
    <dxf>
      <font>
        <strike val="0"/>
        <outline val="0"/>
        <shadow val="0"/>
        <u val="none"/>
        <vertAlign val="baseline"/>
        <color theme="9"/>
        <name val="Roboto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9"/>
        <name val="Roboto"/>
        <scheme val="minor"/>
      </font>
      <fill>
        <patternFill patternType="solid">
          <fgColor indexed="64"/>
          <bgColor theme="4"/>
        </patternFill>
      </fill>
      <alignment horizontal="left" vertical="bottom" textRotation="0" wrapText="0" indent="0" justifyLastLine="0" shrinkToFit="0" readingOrder="0"/>
      <protection locked="1" hidden="0"/>
    </dxf>
    <dxf>
      <font>
        <color theme="0"/>
      </font>
      <fill>
        <patternFill>
          <bgColor theme="1"/>
        </patternFill>
      </fill>
    </dxf>
    <dxf>
      <fill>
        <patternFill>
          <bgColor theme="8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Table Style 1" pivot="0" count="3" xr9:uid="{030E2BD4-08E1-43D0-B8A0-9608F27F2F0C}">
      <tableStyleElement type="headerRow" dxfId="38"/>
      <tableStyleElement type="firstColumn" dxfId="37"/>
      <tableStyleElement type="firstRowStripe" dxfId="36"/>
    </tableStyle>
    <tableStyle name="Table Style 2" pivot="0" count="3" xr9:uid="{198D979B-2351-4E91-9038-C70F081739F0}">
      <tableStyleElement type="headerRow" dxfId="35"/>
      <tableStyleElement type="totalRow" dxfId="34"/>
      <tableStyleElement type="firstColumn" dxfId="33"/>
    </tableStyle>
  </tableStyles>
  <colors>
    <mruColors>
      <color rgb="FF504E83"/>
      <color rgb="FF4AC1B6"/>
      <color rgb="FFCCCCCC"/>
      <color rgb="FFFF005B"/>
      <color rgb="FF999999"/>
      <color rgb="FF2F2B63"/>
      <color rgb="FF666699"/>
      <color rgb="FF32A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100852</xdr:colOff>
      <xdr:row>2</xdr:row>
      <xdr:rowOff>78441</xdr:rowOff>
    </xdr:from>
    <xdr:to>
      <xdr:col>1</xdr:col>
      <xdr:colOff>1860176</xdr:colOff>
      <xdr:row>2</xdr:row>
      <xdr:rowOff>1042147</xdr:rowOff>
    </xdr:to>
    <xdr:sp macro="[0]!Res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A79AE-E49D-42BF-BAA2-2675513F07A4}"/>
            </a:ext>
          </a:extLst>
        </xdr:cNvPr>
        <xdr:cNvSpPr/>
      </xdr:nvSpPr>
      <xdr:spPr>
        <a:xfrm>
          <a:off x="100852" y="952500"/>
          <a:ext cx="2879912" cy="963706"/>
        </a:xfrm>
        <a:prstGeom prst="roundRect">
          <a:avLst>
            <a:gd name="adj" fmla="val 17830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Reset Form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0B28D3-D762-44F5-A5EB-475CA2929BA9}" name="Table5" displayName="Table5" ref="A2:O53" totalsRowShown="0" headerRowDxfId="32" dataDxfId="31" totalsRowDxfId="30" headerRowCellStyle="Normal 2" dataCellStyle="Normal 2">
  <autoFilter ref="A2:O53" xr:uid="{6E412BA7-A776-4B2D-A111-0E77967AD5C5}"/>
  <tableColumns count="15">
    <tableColumn id="1" xr3:uid="{9D6DC79E-5871-4DAD-BA09-2EC20DC57791}" name="Number" dataDxfId="29" totalsRowDxfId="28" dataCellStyle="Normal 2"/>
    <tableColumn id="2" xr3:uid="{642FCDA1-C2C8-44F2-A7D1-A6EA167371EA}" name="Description" dataDxfId="27" totalsRowDxfId="26"/>
    <tableColumn id="11" xr3:uid="{BDBE4A59-86EE-49FF-AD55-29A287235FBC}" name="Date" dataDxfId="25" totalsRowDxfId="24"/>
    <tableColumn id="15" xr3:uid="{75EC05FC-2483-4675-8238-73F753BF6779}" name="Time" dataDxfId="23" totalsRowDxfId="22"/>
    <tableColumn id="12" xr3:uid="{4FC71F84-44BF-4116-8202-05EC5942C5C2}" name="Analyst" dataDxfId="21" totalsRowDxfId="20"/>
    <tableColumn id="13" xr3:uid="{ADF638D1-A554-4BED-AC45-CC42BBFA536D}" name="Notes" dataDxfId="19" totalsRowDxfId="18"/>
    <tableColumn id="7" xr3:uid="{81769FE4-9927-45E3-87C3-7E3FBE07D8A8}" name="Credibility" dataDxfId="17" totalsRowDxfId="16"/>
    <tableColumn id="8" xr3:uid="{8EE2ACB9-B259-4641-894A-5D043B47C379}" name="Reliability" dataDxfId="15" totalsRowDxfId="14"/>
    <tableColumn id="9" xr3:uid="{74DB374C-C768-46D2-BFBC-EB6BB994109B}" name="Relevance" dataDxfId="13" totalsRowDxfId="12"/>
    <tableColumn id="3" xr3:uid="{BE400AE8-F4AD-493F-9D4A-556225EF51DC}" name="H1" dataDxfId="11" totalsRowDxfId="10" dataCellStyle="Normal 2"/>
    <tableColumn id="4" xr3:uid="{E83FE57D-45BC-4C6E-9D0D-272620E4E704}" name="H2" dataDxfId="9" totalsRowDxfId="8" dataCellStyle="Normal 2"/>
    <tableColumn id="5" xr3:uid="{3E78B846-ABF9-4AB6-BB2E-9576FBF96981}" name="H3" dataDxfId="7" totalsRowDxfId="6" dataCellStyle="Normal 2"/>
    <tableColumn id="6" xr3:uid="{21637626-B8A3-4DF7-90ED-A267B118C2CD}" name="H4" dataDxfId="5" totalsRowDxfId="4" dataCellStyle="Normal 2"/>
    <tableColumn id="14" xr3:uid="{0FA486D6-64C6-413A-97C2-C45DCCEF708B}" name="H5" dataDxfId="3" totalsRowDxfId="2" dataCellStyle="Normal 2"/>
    <tableColumn id="17" xr3:uid="{D2880BBD-4DF8-47DC-B768-0E08E234BF76}" name="Link to Evidence" dataDxfId="1" totalsRowDxfId="0" dataCellStyle="Normal 2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Thema EclecticIQ">
  <a:themeElements>
    <a:clrScheme name="Colors EclecticIQ">
      <a:dk1>
        <a:srgbClr val="333333"/>
      </a:dk1>
      <a:lt1>
        <a:srgbClr val="FFFFFF"/>
      </a:lt1>
      <a:dk2>
        <a:srgbClr val="000000"/>
      </a:dk2>
      <a:lt2>
        <a:srgbClr val="FFFFFF"/>
      </a:lt2>
      <a:accent1>
        <a:srgbClr val="4AC1B6"/>
      </a:accent1>
      <a:accent2>
        <a:srgbClr val="504E83"/>
      </a:accent2>
      <a:accent3>
        <a:srgbClr val="FF005B"/>
      </a:accent3>
      <a:accent4>
        <a:srgbClr val="32A9C1"/>
      </a:accent4>
      <a:accent5>
        <a:srgbClr val="CCCCCC"/>
      </a:accent5>
      <a:accent6>
        <a:srgbClr val="474747"/>
      </a:accent6>
      <a:hlink>
        <a:srgbClr val="000000"/>
      </a:hlink>
      <a:folHlink>
        <a:srgbClr val="000000"/>
      </a:folHlink>
    </a:clrScheme>
    <a:fontScheme name="Fonts EclecticIQ Roboto">
      <a:majorFont>
        <a:latin typeface="Roboto"/>
        <a:ea typeface=""/>
        <a:cs typeface=""/>
      </a:majorFont>
      <a:minorFont>
        <a:latin typeface="Roboto"/>
        <a:ea typeface=""/>
        <a:cs typeface="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2CEE7-5994-4E7A-9634-A60086D54224}">
  <sheetPr codeName="Sheet1"/>
  <dimension ref="A1:O53"/>
  <sheetViews>
    <sheetView zoomScale="71" zoomScaleNormal="71" workbookViewId="0">
      <selection activeCell="I4" sqref="I4"/>
    </sheetView>
  </sheetViews>
  <sheetFormatPr defaultRowHeight="14.25"/>
  <cols>
    <col min="1" max="1" width="16.85546875" style="1" customWidth="1"/>
    <col min="2" max="2" width="88.7109375" style="2" customWidth="1"/>
    <col min="3" max="3" width="18.28515625" style="2" bestFit="1" customWidth="1"/>
    <col min="4" max="4" width="18.28515625" style="2" customWidth="1"/>
    <col min="5" max="5" width="18.28515625" style="2" bestFit="1" customWidth="1"/>
    <col min="6" max="6" width="18.28515625" style="2" customWidth="1"/>
    <col min="7" max="7" width="27.7109375" style="2" bestFit="1" customWidth="1"/>
    <col min="8" max="8" width="20.140625" style="2" bestFit="1" customWidth="1"/>
    <col min="9" max="9" width="21" style="2" bestFit="1" customWidth="1"/>
    <col min="10" max="15" width="30.7109375" style="1" customWidth="1"/>
    <col min="16" max="16384" width="9.140625" style="1"/>
  </cols>
  <sheetData>
    <row r="1" spans="1:15" ht="42.75" customHeight="1">
      <c r="A1" s="59" t="s">
        <v>5</v>
      </c>
      <c r="B1" s="59"/>
      <c r="C1" s="36"/>
      <c r="D1" s="36"/>
      <c r="E1" s="36"/>
      <c r="F1" s="36"/>
      <c r="G1" s="36"/>
      <c r="H1" s="36"/>
      <c r="I1" s="36"/>
      <c r="J1" s="60" t="s">
        <v>0</v>
      </c>
      <c r="K1" s="60"/>
      <c r="L1" s="60"/>
      <c r="M1" s="60"/>
      <c r="N1" s="60"/>
      <c r="O1" s="60"/>
    </row>
    <row r="2" spans="1:15" ht="26.25" customHeight="1">
      <c r="A2" s="37" t="s">
        <v>25</v>
      </c>
      <c r="B2" s="37" t="s">
        <v>24</v>
      </c>
      <c r="C2" s="38" t="s">
        <v>35</v>
      </c>
      <c r="D2" s="38" t="s">
        <v>73</v>
      </c>
      <c r="E2" s="38" t="s">
        <v>36</v>
      </c>
      <c r="F2" s="38" t="s">
        <v>38</v>
      </c>
      <c r="G2" s="38" t="s">
        <v>27</v>
      </c>
      <c r="H2" s="38" t="s">
        <v>80</v>
      </c>
      <c r="I2" s="37" t="s">
        <v>28</v>
      </c>
      <c r="J2" s="39" t="s">
        <v>1</v>
      </c>
      <c r="K2" s="39" t="s">
        <v>2</v>
      </c>
      <c r="L2" s="39" t="s">
        <v>3</v>
      </c>
      <c r="M2" s="39" t="s">
        <v>4</v>
      </c>
      <c r="N2" s="39" t="s">
        <v>34</v>
      </c>
      <c r="O2" s="40" t="s">
        <v>37</v>
      </c>
    </row>
    <row r="3" spans="1:15" ht="90" customHeight="1">
      <c r="A3" s="41"/>
      <c r="B3" s="42"/>
      <c r="C3" s="43"/>
      <c r="D3" s="43"/>
      <c r="E3" s="43"/>
      <c r="F3" s="43"/>
      <c r="G3" s="43"/>
      <c r="H3" s="43"/>
      <c r="I3" s="43"/>
      <c r="J3" s="57" t="s">
        <v>93</v>
      </c>
      <c r="K3" s="6" t="s">
        <v>93</v>
      </c>
      <c r="L3" s="6" t="s">
        <v>93</v>
      </c>
      <c r="M3" s="6" t="s">
        <v>93</v>
      </c>
      <c r="N3" s="34" t="s">
        <v>93</v>
      </c>
      <c r="O3" s="33"/>
    </row>
    <row r="4" spans="1:15" ht="20.25">
      <c r="A4" s="44" t="s">
        <v>6</v>
      </c>
      <c r="B4" s="7"/>
      <c r="C4" s="25"/>
      <c r="D4" s="29"/>
      <c r="E4" s="19"/>
      <c r="F4" s="19"/>
      <c r="G4" s="12" t="s">
        <v>29</v>
      </c>
      <c r="H4" s="12" t="s">
        <v>29</v>
      </c>
      <c r="I4" s="12" t="s">
        <v>29</v>
      </c>
      <c r="J4" s="13" t="s">
        <v>29</v>
      </c>
      <c r="K4" s="13" t="s">
        <v>29</v>
      </c>
      <c r="L4" s="13" t="s">
        <v>29</v>
      </c>
      <c r="M4" s="13" t="s">
        <v>29</v>
      </c>
      <c r="N4" s="14" t="s">
        <v>29</v>
      </c>
      <c r="O4" s="8"/>
    </row>
    <row r="5" spans="1:15" ht="20.25">
      <c r="A5" s="44" t="s">
        <v>7</v>
      </c>
      <c r="B5" s="58"/>
      <c r="C5" s="26"/>
      <c r="D5" s="30"/>
      <c r="E5" s="20"/>
      <c r="F5" s="20"/>
      <c r="G5" s="15" t="s">
        <v>29</v>
      </c>
      <c r="H5" s="15" t="s">
        <v>29</v>
      </c>
      <c r="I5" s="15" t="s">
        <v>29</v>
      </c>
      <c r="J5" s="13" t="s">
        <v>29</v>
      </c>
      <c r="K5" s="13" t="s">
        <v>29</v>
      </c>
      <c r="L5" s="13" t="s">
        <v>29</v>
      </c>
      <c r="M5" s="13" t="s">
        <v>29</v>
      </c>
      <c r="N5" s="14" t="s">
        <v>29</v>
      </c>
      <c r="O5" s="8"/>
    </row>
    <row r="6" spans="1:15" ht="20.25">
      <c r="A6" s="44" t="s">
        <v>8</v>
      </c>
      <c r="B6" s="5"/>
      <c r="C6" s="26"/>
      <c r="D6" s="30"/>
      <c r="E6" s="20"/>
      <c r="F6" s="20"/>
      <c r="G6" s="15" t="s">
        <v>29</v>
      </c>
      <c r="H6" s="15" t="s">
        <v>29</v>
      </c>
      <c r="I6" s="15" t="s">
        <v>29</v>
      </c>
      <c r="J6" s="13" t="s">
        <v>29</v>
      </c>
      <c r="K6" s="13" t="s">
        <v>29</v>
      </c>
      <c r="L6" s="13" t="s">
        <v>29</v>
      </c>
      <c r="M6" s="13" t="s">
        <v>29</v>
      </c>
      <c r="N6" s="14" t="s">
        <v>29</v>
      </c>
      <c r="O6" s="8"/>
    </row>
    <row r="7" spans="1:15" ht="20.25">
      <c r="A7" s="44" t="s">
        <v>9</v>
      </c>
      <c r="B7" s="5"/>
      <c r="C7" s="26"/>
      <c r="D7" s="30"/>
      <c r="E7" s="20"/>
      <c r="F7" s="20"/>
      <c r="G7" s="15" t="s">
        <v>29</v>
      </c>
      <c r="H7" s="15" t="s">
        <v>29</v>
      </c>
      <c r="I7" s="15" t="s">
        <v>29</v>
      </c>
      <c r="J7" s="13" t="s">
        <v>29</v>
      </c>
      <c r="K7" s="13" t="s">
        <v>29</v>
      </c>
      <c r="L7" s="13" t="s">
        <v>29</v>
      </c>
      <c r="M7" s="13" t="s">
        <v>29</v>
      </c>
      <c r="N7" s="14" t="s">
        <v>29</v>
      </c>
      <c r="O7" s="8"/>
    </row>
    <row r="8" spans="1:15" ht="20.25">
      <c r="A8" s="44" t="s">
        <v>10</v>
      </c>
      <c r="B8" s="5"/>
      <c r="C8" s="26"/>
      <c r="D8" s="30"/>
      <c r="E8" s="20"/>
      <c r="F8" s="20"/>
      <c r="G8" s="15" t="s">
        <v>29</v>
      </c>
      <c r="H8" s="15" t="s">
        <v>29</v>
      </c>
      <c r="I8" s="15" t="s">
        <v>29</v>
      </c>
      <c r="J8" s="13" t="s">
        <v>29</v>
      </c>
      <c r="K8" s="13" t="s">
        <v>29</v>
      </c>
      <c r="L8" s="13" t="s">
        <v>29</v>
      </c>
      <c r="M8" s="13" t="s">
        <v>29</v>
      </c>
      <c r="N8" s="14" t="s">
        <v>29</v>
      </c>
      <c r="O8" s="8"/>
    </row>
    <row r="9" spans="1:15" ht="20.25">
      <c r="A9" s="45" t="s">
        <v>11</v>
      </c>
      <c r="B9" s="5"/>
      <c r="C9" s="26"/>
      <c r="D9" s="30"/>
      <c r="E9" s="20"/>
      <c r="F9" s="20"/>
      <c r="G9" s="15" t="s">
        <v>29</v>
      </c>
      <c r="H9" s="15" t="s">
        <v>29</v>
      </c>
      <c r="I9" s="15" t="s">
        <v>29</v>
      </c>
      <c r="J9" s="13" t="s">
        <v>29</v>
      </c>
      <c r="K9" s="13" t="s">
        <v>29</v>
      </c>
      <c r="L9" s="13" t="s">
        <v>29</v>
      </c>
      <c r="M9" s="13" t="s">
        <v>29</v>
      </c>
      <c r="N9" s="14" t="s">
        <v>29</v>
      </c>
      <c r="O9" s="8"/>
    </row>
    <row r="10" spans="1:15" ht="20.25">
      <c r="A10" s="44" t="s">
        <v>12</v>
      </c>
      <c r="B10" s="5"/>
      <c r="C10" s="26"/>
      <c r="D10" s="30"/>
      <c r="E10" s="20"/>
      <c r="F10" s="20"/>
      <c r="G10" s="15" t="s">
        <v>29</v>
      </c>
      <c r="H10" s="15" t="s">
        <v>29</v>
      </c>
      <c r="I10" s="15" t="s">
        <v>29</v>
      </c>
      <c r="J10" s="13" t="s">
        <v>29</v>
      </c>
      <c r="K10" s="13" t="s">
        <v>29</v>
      </c>
      <c r="L10" s="13" t="s">
        <v>29</v>
      </c>
      <c r="M10" s="13" t="s">
        <v>29</v>
      </c>
      <c r="N10" s="14" t="s">
        <v>29</v>
      </c>
      <c r="O10" s="8"/>
    </row>
    <row r="11" spans="1:15" ht="20.25">
      <c r="A11" s="44" t="s">
        <v>13</v>
      </c>
      <c r="B11" s="5"/>
      <c r="C11" s="26"/>
      <c r="D11" s="30"/>
      <c r="E11" s="20"/>
      <c r="F11" s="20"/>
      <c r="G11" s="15" t="s">
        <v>29</v>
      </c>
      <c r="H11" s="15" t="s">
        <v>29</v>
      </c>
      <c r="I11" s="15" t="s">
        <v>29</v>
      </c>
      <c r="J11" s="13" t="s">
        <v>29</v>
      </c>
      <c r="K11" s="13" t="s">
        <v>29</v>
      </c>
      <c r="L11" s="13" t="s">
        <v>29</v>
      </c>
      <c r="M11" s="13" t="s">
        <v>29</v>
      </c>
      <c r="N11" s="14" t="s">
        <v>29</v>
      </c>
      <c r="O11" s="8"/>
    </row>
    <row r="12" spans="1:15" ht="20.25">
      <c r="A12" s="44" t="s">
        <v>14</v>
      </c>
      <c r="B12" s="5"/>
      <c r="C12" s="26"/>
      <c r="D12" s="30"/>
      <c r="E12" s="20"/>
      <c r="F12" s="20"/>
      <c r="G12" s="15" t="s">
        <v>29</v>
      </c>
      <c r="H12" s="15" t="s">
        <v>29</v>
      </c>
      <c r="I12" s="15" t="s">
        <v>29</v>
      </c>
      <c r="J12" s="13" t="s">
        <v>29</v>
      </c>
      <c r="K12" s="13" t="s">
        <v>29</v>
      </c>
      <c r="L12" s="13" t="s">
        <v>29</v>
      </c>
      <c r="M12" s="13" t="s">
        <v>29</v>
      </c>
      <c r="N12" s="14" t="s">
        <v>29</v>
      </c>
      <c r="O12" s="8"/>
    </row>
    <row r="13" spans="1:15" ht="20.25">
      <c r="A13" s="44" t="s">
        <v>15</v>
      </c>
      <c r="B13" s="5"/>
      <c r="C13" s="26"/>
      <c r="D13" s="56"/>
      <c r="E13" s="20"/>
      <c r="F13" s="20"/>
      <c r="G13" s="15" t="s">
        <v>29</v>
      </c>
      <c r="H13" s="15" t="s">
        <v>29</v>
      </c>
      <c r="I13" s="15" t="s">
        <v>29</v>
      </c>
      <c r="J13" s="13" t="s">
        <v>29</v>
      </c>
      <c r="K13" s="13" t="s">
        <v>29</v>
      </c>
      <c r="L13" s="13" t="s">
        <v>29</v>
      </c>
      <c r="M13" s="13" t="s">
        <v>29</v>
      </c>
      <c r="N13" s="14" t="s">
        <v>29</v>
      </c>
      <c r="O13" s="8"/>
    </row>
    <row r="14" spans="1:15" ht="20.25">
      <c r="A14" s="46" t="s">
        <v>16</v>
      </c>
      <c r="B14" s="5"/>
      <c r="C14" s="26"/>
      <c r="D14" s="30"/>
      <c r="E14" s="20"/>
      <c r="F14" s="20"/>
      <c r="G14" s="15" t="s">
        <v>29</v>
      </c>
      <c r="H14" s="15" t="s">
        <v>29</v>
      </c>
      <c r="I14" s="15" t="s">
        <v>29</v>
      </c>
      <c r="J14" s="13" t="s">
        <v>29</v>
      </c>
      <c r="K14" s="13" t="s">
        <v>29</v>
      </c>
      <c r="L14" s="13" t="s">
        <v>29</v>
      </c>
      <c r="M14" s="13" t="s">
        <v>29</v>
      </c>
      <c r="N14" s="14" t="s">
        <v>29</v>
      </c>
      <c r="O14" s="8"/>
    </row>
    <row r="15" spans="1:15" ht="20.25">
      <c r="A15" s="44" t="s">
        <v>17</v>
      </c>
      <c r="B15" s="5"/>
      <c r="C15" s="26"/>
      <c r="D15" s="30"/>
      <c r="E15" s="20"/>
      <c r="F15" s="20"/>
      <c r="G15" s="15" t="s">
        <v>29</v>
      </c>
      <c r="H15" s="15" t="s">
        <v>29</v>
      </c>
      <c r="I15" s="15" t="s">
        <v>29</v>
      </c>
      <c r="J15" s="13" t="s">
        <v>29</v>
      </c>
      <c r="K15" s="13" t="s">
        <v>29</v>
      </c>
      <c r="L15" s="13" t="s">
        <v>29</v>
      </c>
      <c r="M15" s="13" t="s">
        <v>29</v>
      </c>
      <c r="N15" s="14" t="s">
        <v>29</v>
      </c>
      <c r="O15" s="8"/>
    </row>
    <row r="16" spans="1:15" ht="20.25">
      <c r="A16" s="44" t="s">
        <v>18</v>
      </c>
      <c r="B16" s="5"/>
      <c r="C16" s="26"/>
      <c r="D16" s="30"/>
      <c r="E16" s="20"/>
      <c r="F16" s="20"/>
      <c r="G16" s="15" t="s">
        <v>29</v>
      </c>
      <c r="H16" s="15" t="s">
        <v>29</v>
      </c>
      <c r="I16" s="15" t="s">
        <v>29</v>
      </c>
      <c r="J16" s="13" t="s">
        <v>29</v>
      </c>
      <c r="K16" s="13" t="s">
        <v>29</v>
      </c>
      <c r="L16" s="13" t="s">
        <v>29</v>
      </c>
      <c r="M16" s="13" t="s">
        <v>29</v>
      </c>
      <c r="N16" s="14" t="s">
        <v>29</v>
      </c>
      <c r="O16" s="8"/>
    </row>
    <row r="17" spans="1:15" ht="20.25">
      <c r="A17" s="45" t="s">
        <v>19</v>
      </c>
      <c r="B17" s="5"/>
      <c r="C17" s="26"/>
      <c r="D17" s="30"/>
      <c r="E17" s="20"/>
      <c r="F17" s="20"/>
      <c r="G17" s="15" t="s">
        <v>29</v>
      </c>
      <c r="H17" s="15" t="s">
        <v>29</v>
      </c>
      <c r="I17" s="15" t="s">
        <v>29</v>
      </c>
      <c r="J17" s="13" t="s">
        <v>29</v>
      </c>
      <c r="K17" s="13" t="s">
        <v>29</v>
      </c>
      <c r="L17" s="13" t="s">
        <v>29</v>
      </c>
      <c r="M17" s="13" t="s">
        <v>29</v>
      </c>
      <c r="N17" s="14" t="s">
        <v>29</v>
      </c>
      <c r="O17" s="8"/>
    </row>
    <row r="18" spans="1:15" ht="20.25">
      <c r="A18" s="44" t="s">
        <v>20</v>
      </c>
      <c r="B18" s="5"/>
      <c r="C18" s="26"/>
      <c r="D18" s="30"/>
      <c r="E18" s="20"/>
      <c r="F18" s="20"/>
      <c r="G18" s="15" t="s">
        <v>29</v>
      </c>
      <c r="H18" s="15" t="s">
        <v>29</v>
      </c>
      <c r="I18" s="15" t="s">
        <v>29</v>
      </c>
      <c r="J18" s="13" t="s">
        <v>29</v>
      </c>
      <c r="K18" s="13" t="s">
        <v>29</v>
      </c>
      <c r="L18" s="13" t="s">
        <v>29</v>
      </c>
      <c r="M18" s="13" t="s">
        <v>29</v>
      </c>
      <c r="N18" s="14" t="s">
        <v>29</v>
      </c>
      <c r="O18" s="8"/>
    </row>
    <row r="19" spans="1:15" ht="20.25">
      <c r="A19" s="44" t="s">
        <v>21</v>
      </c>
      <c r="B19" s="5"/>
      <c r="C19" s="26"/>
      <c r="D19" s="30"/>
      <c r="E19" s="20"/>
      <c r="F19" s="20"/>
      <c r="G19" s="15" t="s">
        <v>29</v>
      </c>
      <c r="H19" s="15" t="s">
        <v>29</v>
      </c>
      <c r="I19" s="15" t="s">
        <v>29</v>
      </c>
      <c r="J19" s="13" t="s">
        <v>29</v>
      </c>
      <c r="K19" s="13" t="s">
        <v>29</v>
      </c>
      <c r="L19" s="13" t="s">
        <v>29</v>
      </c>
      <c r="M19" s="13" t="s">
        <v>29</v>
      </c>
      <c r="N19" s="14" t="s">
        <v>29</v>
      </c>
      <c r="O19" s="8"/>
    </row>
    <row r="20" spans="1:15" ht="20.25">
      <c r="A20" s="44" t="s">
        <v>39</v>
      </c>
      <c r="B20" s="4"/>
      <c r="C20" s="26"/>
      <c r="D20" s="30"/>
      <c r="E20" s="20"/>
      <c r="F20" s="20"/>
      <c r="G20" s="15" t="s">
        <v>29</v>
      </c>
      <c r="H20" s="15" t="s">
        <v>29</v>
      </c>
      <c r="I20" s="15" t="s">
        <v>29</v>
      </c>
      <c r="J20" s="14" t="s">
        <v>29</v>
      </c>
      <c r="K20" s="14" t="s">
        <v>29</v>
      </c>
      <c r="L20" s="14" t="s">
        <v>29</v>
      </c>
      <c r="M20" s="14" t="s">
        <v>29</v>
      </c>
      <c r="N20" s="14" t="s">
        <v>29</v>
      </c>
      <c r="O20" s="8"/>
    </row>
    <row r="21" spans="1:15" ht="20.25">
      <c r="A21" s="44" t="s">
        <v>40</v>
      </c>
      <c r="B21" s="4"/>
      <c r="C21" s="26"/>
      <c r="D21" s="30"/>
      <c r="E21" s="20"/>
      <c r="F21" s="20"/>
      <c r="G21" s="15" t="s">
        <v>29</v>
      </c>
      <c r="H21" s="15" t="s">
        <v>29</v>
      </c>
      <c r="I21" s="15" t="s">
        <v>29</v>
      </c>
      <c r="J21" s="14" t="s">
        <v>29</v>
      </c>
      <c r="K21" s="14" t="s">
        <v>29</v>
      </c>
      <c r="L21" s="14" t="s">
        <v>29</v>
      </c>
      <c r="M21" s="14" t="s">
        <v>29</v>
      </c>
      <c r="N21" s="14" t="s">
        <v>29</v>
      </c>
      <c r="O21" s="8"/>
    </row>
    <row r="22" spans="1:15" ht="20.25">
      <c r="A22" s="44" t="s">
        <v>41</v>
      </c>
      <c r="B22" s="4"/>
      <c r="C22" s="26"/>
      <c r="D22" s="30"/>
      <c r="E22" s="20"/>
      <c r="F22" s="20"/>
      <c r="G22" s="15" t="s">
        <v>29</v>
      </c>
      <c r="H22" s="15" t="s">
        <v>29</v>
      </c>
      <c r="I22" s="15" t="s">
        <v>29</v>
      </c>
      <c r="J22" s="14" t="s">
        <v>29</v>
      </c>
      <c r="K22" s="14" t="s">
        <v>29</v>
      </c>
      <c r="L22" s="14" t="s">
        <v>29</v>
      </c>
      <c r="M22" s="14" t="s">
        <v>29</v>
      </c>
      <c r="N22" s="14" t="s">
        <v>29</v>
      </c>
      <c r="O22" s="8"/>
    </row>
    <row r="23" spans="1:15" ht="20.25">
      <c r="A23" s="44" t="s">
        <v>42</v>
      </c>
      <c r="B23" s="4"/>
      <c r="C23" s="26"/>
      <c r="D23" s="30"/>
      <c r="E23" s="20"/>
      <c r="F23" s="20"/>
      <c r="G23" s="15" t="s">
        <v>29</v>
      </c>
      <c r="H23" s="15" t="s">
        <v>29</v>
      </c>
      <c r="I23" s="15" t="s">
        <v>29</v>
      </c>
      <c r="J23" s="14" t="s">
        <v>29</v>
      </c>
      <c r="K23" s="14" t="s">
        <v>29</v>
      </c>
      <c r="L23" s="14" t="s">
        <v>29</v>
      </c>
      <c r="M23" s="14" t="s">
        <v>29</v>
      </c>
      <c r="N23" s="14" t="s">
        <v>29</v>
      </c>
      <c r="O23" s="8"/>
    </row>
    <row r="24" spans="1:15" ht="20.25">
      <c r="A24" s="44" t="s">
        <v>43</v>
      </c>
      <c r="B24" s="4"/>
      <c r="C24" s="26"/>
      <c r="D24" s="30"/>
      <c r="E24" s="20"/>
      <c r="F24" s="20"/>
      <c r="G24" s="15" t="s">
        <v>29</v>
      </c>
      <c r="H24" s="15" t="s">
        <v>29</v>
      </c>
      <c r="I24" s="15" t="s">
        <v>29</v>
      </c>
      <c r="J24" s="14" t="s">
        <v>29</v>
      </c>
      <c r="K24" s="14" t="s">
        <v>29</v>
      </c>
      <c r="L24" s="14" t="s">
        <v>29</v>
      </c>
      <c r="M24" s="14" t="s">
        <v>29</v>
      </c>
      <c r="N24" s="14" t="s">
        <v>29</v>
      </c>
      <c r="O24" s="8"/>
    </row>
    <row r="25" spans="1:15" ht="20.25">
      <c r="A25" s="44" t="s">
        <v>44</v>
      </c>
      <c r="B25" s="4"/>
      <c r="C25" s="26"/>
      <c r="D25" s="30"/>
      <c r="E25" s="20"/>
      <c r="F25" s="20"/>
      <c r="G25" s="15" t="s">
        <v>29</v>
      </c>
      <c r="H25" s="15" t="s">
        <v>29</v>
      </c>
      <c r="I25" s="15" t="s">
        <v>29</v>
      </c>
      <c r="J25" s="14" t="s">
        <v>29</v>
      </c>
      <c r="K25" s="14" t="s">
        <v>29</v>
      </c>
      <c r="L25" s="14" t="s">
        <v>29</v>
      </c>
      <c r="M25" s="14" t="s">
        <v>29</v>
      </c>
      <c r="N25" s="14" t="s">
        <v>29</v>
      </c>
      <c r="O25" s="8"/>
    </row>
    <row r="26" spans="1:15" ht="20.25">
      <c r="A26" s="44" t="s">
        <v>45</v>
      </c>
      <c r="B26" s="4"/>
      <c r="C26" s="26"/>
      <c r="D26" s="30"/>
      <c r="E26" s="20"/>
      <c r="F26" s="20"/>
      <c r="G26" s="15" t="s">
        <v>29</v>
      </c>
      <c r="H26" s="15" t="s">
        <v>29</v>
      </c>
      <c r="I26" s="15" t="s">
        <v>29</v>
      </c>
      <c r="J26" s="14" t="s">
        <v>29</v>
      </c>
      <c r="K26" s="14" t="s">
        <v>29</v>
      </c>
      <c r="L26" s="14" t="s">
        <v>29</v>
      </c>
      <c r="M26" s="14" t="s">
        <v>29</v>
      </c>
      <c r="N26" s="14" t="s">
        <v>29</v>
      </c>
      <c r="O26" s="8"/>
    </row>
    <row r="27" spans="1:15" ht="20.25">
      <c r="A27" s="44" t="s">
        <v>46</v>
      </c>
      <c r="B27" s="4"/>
      <c r="C27" s="26"/>
      <c r="D27" s="30"/>
      <c r="E27" s="20"/>
      <c r="F27" s="20"/>
      <c r="G27" s="15" t="s">
        <v>29</v>
      </c>
      <c r="H27" s="15" t="s">
        <v>29</v>
      </c>
      <c r="I27" s="15" t="s">
        <v>29</v>
      </c>
      <c r="J27" s="14" t="s">
        <v>29</v>
      </c>
      <c r="K27" s="14" t="s">
        <v>29</v>
      </c>
      <c r="L27" s="14" t="s">
        <v>29</v>
      </c>
      <c r="M27" s="14" t="s">
        <v>29</v>
      </c>
      <c r="N27" s="14" t="s">
        <v>29</v>
      </c>
      <c r="O27" s="8"/>
    </row>
    <row r="28" spans="1:15" ht="20.25">
      <c r="A28" s="44" t="s">
        <v>47</v>
      </c>
      <c r="B28" s="4"/>
      <c r="C28" s="26"/>
      <c r="D28" s="30"/>
      <c r="E28" s="20"/>
      <c r="F28" s="20"/>
      <c r="G28" s="15" t="s">
        <v>29</v>
      </c>
      <c r="H28" s="15" t="s">
        <v>29</v>
      </c>
      <c r="I28" s="15" t="s">
        <v>29</v>
      </c>
      <c r="J28" s="14" t="s">
        <v>29</v>
      </c>
      <c r="K28" s="14" t="s">
        <v>29</v>
      </c>
      <c r="L28" s="14" t="s">
        <v>29</v>
      </c>
      <c r="M28" s="14" t="s">
        <v>29</v>
      </c>
      <c r="N28" s="14" t="s">
        <v>29</v>
      </c>
      <c r="O28" s="8"/>
    </row>
    <row r="29" spans="1:15" ht="20.25">
      <c r="A29" s="44" t="s">
        <v>48</v>
      </c>
      <c r="B29" s="4"/>
      <c r="C29" s="26"/>
      <c r="D29" s="30"/>
      <c r="E29" s="20"/>
      <c r="F29" s="20"/>
      <c r="G29" s="15" t="s">
        <v>29</v>
      </c>
      <c r="H29" s="15" t="s">
        <v>29</v>
      </c>
      <c r="I29" s="15" t="s">
        <v>29</v>
      </c>
      <c r="J29" s="14" t="s">
        <v>29</v>
      </c>
      <c r="K29" s="14" t="s">
        <v>29</v>
      </c>
      <c r="L29" s="14" t="s">
        <v>29</v>
      </c>
      <c r="M29" s="14" t="s">
        <v>29</v>
      </c>
      <c r="N29" s="14" t="s">
        <v>29</v>
      </c>
      <c r="O29" s="8"/>
    </row>
    <row r="30" spans="1:15" ht="20.25">
      <c r="A30" s="44" t="s">
        <v>49</v>
      </c>
      <c r="B30" s="4"/>
      <c r="C30" s="26"/>
      <c r="D30" s="30"/>
      <c r="E30" s="20"/>
      <c r="F30" s="20"/>
      <c r="G30" s="15" t="s">
        <v>29</v>
      </c>
      <c r="H30" s="15" t="s">
        <v>29</v>
      </c>
      <c r="I30" s="15" t="s">
        <v>29</v>
      </c>
      <c r="J30" s="14" t="s">
        <v>29</v>
      </c>
      <c r="K30" s="14" t="s">
        <v>29</v>
      </c>
      <c r="L30" s="14" t="s">
        <v>29</v>
      </c>
      <c r="M30" s="14" t="s">
        <v>29</v>
      </c>
      <c r="N30" s="14" t="s">
        <v>29</v>
      </c>
      <c r="O30" s="8"/>
    </row>
    <row r="31" spans="1:15" ht="20.25">
      <c r="A31" s="44" t="s">
        <v>50</v>
      </c>
      <c r="B31" s="4"/>
      <c r="C31" s="26"/>
      <c r="D31" s="30"/>
      <c r="E31" s="20"/>
      <c r="F31" s="20"/>
      <c r="G31" s="15" t="s">
        <v>29</v>
      </c>
      <c r="H31" s="15" t="s">
        <v>29</v>
      </c>
      <c r="I31" s="15" t="s">
        <v>29</v>
      </c>
      <c r="J31" s="14" t="s">
        <v>29</v>
      </c>
      <c r="K31" s="14" t="s">
        <v>29</v>
      </c>
      <c r="L31" s="14" t="s">
        <v>29</v>
      </c>
      <c r="M31" s="14" t="s">
        <v>29</v>
      </c>
      <c r="N31" s="14" t="s">
        <v>29</v>
      </c>
      <c r="O31" s="8"/>
    </row>
    <row r="32" spans="1:15" ht="20.25">
      <c r="A32" s="44" t="s">
        <v>51</v>
      </c>
      <c r="B32" s="4"/>
      <c r="C32" s="26"/>
      <c r="D32" s="30"/>
      <c r="E32" s="20"/>
      <c r="F32" s="20"/>
      <c r="G32" s="15" t="s">
        <v>29</v>
      </c>
      <c r="H32" s="15" t="s">
        <v>29</v>
      </c>
      <c r="I32" s="15" t="s">
        <v>29</v>
      </c>
      <c r="J32" s="14" t="s">
        <v>29</v>
      </c>
      <c r="K32" s="14" t="s">
        <v>29</v>
      </c>
      <c r="L32" s="14" t="s">
        <v>29</v>
      </c>
      <c r="M32" s="14" t="s">
        <v>29</v>
      </c>
      <c r="N32" s="14" t="s">
        <v>29</v>
      </c>
      <c r="O32" s="8"/>
    </row>
    <row r="33" spans="1:15" ht="20.25">
      <c r="A33" s="44" t="s">
        <v>52</v>
      </c>
      <c r="B33" s="4"/>
      <c r="C33" s="26"/>
      <c r="D33" s="30"/>
      <c r="E33" s="20"/>
      <c r="F33" s="20"/>
      <c r="G33" s="15" t="s">
        <v>29</v>
      </c>
      <c r="H33" s="15" t="s">
        <v>29</v>
      </c>
      <c r="I33" s="15" t="s">
        <v>29</v>
      </c>
      <c r="J33" s="14" t="s">
        <v>29</v>
      </c>
      <c r="K33" s="14" t="s">
        <v>29</v>
      </c>
      <c r="L33" s="14" t="s">
        <v>29</v>
      </c>
      <c r="M33" s="14" t="s">
        <v>29</v>
      </c>
      <c r="N33" s="14" t="s">
        <v>29</v>
      </c>
      <c r="O33" s="8"/>
    </row>
    <row r="34" spans="1:15" ht="20.25">
      <c r="A34" s="44" t="s">
        <v>53</v>
      </c>
      <c r="B34" s="4"/>
      <c r="C34" s="26"/>
      <c r="D34" s="30"/>
      <c r="E34" s="20"/>
      <c r="F34" s="20"/>
      <c r="G34" s="15" t="s">
        <v>29</v>
      </c>
      <c r="H34" s="15" t="s">
        <v>29</v>
      </c>
      <c r="I34" s="15" t="s">
        <v>29</v>
      </c>
      <c r="J34" s="14" t="s">
        <v>29</v>
      </c>
      <c r="K34" s="14" t="s">
        <v>29</v>
      </c>
      <c r="L34" s="14" t="s">
        <v>29</v>
      </c>
      <c r="M34" s="14" t="s">
        <v>29</v>
      </c>
      <c r="N34" s="14" t="s">
        <v>29</v>
      </c>
      <c r="O34" s="8"/>
    </row>
    <row r="35" spans="1:15" ht="20.25">
      <c r="A35" s="44" t="s">
        <v>54</v>
      </c>
      <c r="B35" s="4"/>
      <c r="C35" s="26"/>
      <c r="D35" s="30"/>
      <c r="E35" s="20"/>
      <c r="F35" s="20"/>
      <c r="G35" s="15" t="s">
        <v>29</v>
      </c>
      <c r="H35" s="15" t="s">
        <v>29</v>
      </c>
      <c r="I35" s="15" t="s">
        <v>29</v>
      </c>
      <c r="J35" s="14" t="s">
        <v>29</v>
      </c>
      <c r="K35" s="14" t="s">
        <v>29</v>
      </c>
      <c r="L35" s="14" t="s">
        <v>29</v>
      </c>
      <c r="M35" s="14" t="s">
        <v>29</v>
      </c>
      <c r="N35" s="14" t="s">
        <v>29</v>
      </c>
      <c r="O35" s="8"/>
    </row>
    <row r="36" spans="1:15" ht="20.25">
      <c r="A36" s="44" t="s">
        <v>55</v>
      </c>
      <c r="B36" s="4"/>
      <c r="C36" s="26"/>
      <c r="D36" s="30"/>
      <c r="E36" s="20"/>
      <c r="F36" s="20"/>
      <c r="G36" s="15" t="s">
        <v>29</v>
      </c>
      <c r="H36" s="15" t="s">
        <v>29</v>
      </c>
      <c r="I36" s="15" t="s">
        <v>29</v>
      </c>
      <c r="J36" s="14" t="s">
        <v>29</v>
      </c>
      <c r="K36" s="14" t="s">
        <v>29</v>
      </c>
      <c r="L36" s="14" t="s">
        <v>29</v>
      </c>
      <c r="M36" s="14" t="s">
        <v>29</v>
      </c>
      <c r="N36" s="14" t="s">
        <v>29</v>
      </c>
      <c r="O36" s="8"/>
    </row>
    <row r="37" spans="1:15" ht="20.25">
      <c r="A37" s="44" t="s">
        <v>56</v>
      </c>
      <c r="B37" s="4"/>
      <c r="C37" s="26"/>
      <c r="D37" s="30"/>
      <c r="E37" s="20"/>
      <c r="F37" s="20"/>
      <c r="G37" s="15" t="s">
        <v>29</v>
      </c>
      <c r="H37" s="15" t="s">
        <v>29</v>
      </c>
      <c r="I37" s="15" t="s">
        <v>29</v>
      </c>
      <c r="J37" s="14" t="s">
        <v>29</v>
      </c>
      <c r="K37" s="14" t="s">
        <v>29</v>
      </c>
      <c r="L37" s="14" t="s">
        <v>29</v>
      </c>
      <c r="M37" s="14" t="s">
        <v>29</v>
      </c>
      <c r="N37" s="14" t="s">
        <v>29</v>
      </c>
      <c r="O37" s="8"/>
    </row>
    <row r="38" spans="1:15" ht="20.25">
      <c r="A38" s="44" t="s">
        <v>57</v>
      </c>
      <c r="B38" s="4"/>
      <c r="C38" s="26"/>
      <c r="D38" s="30"/>
      <c r="E38" s="20"/>
      <c r="F38" s="20"/>
      <c r="G38" s="15" t="s">
        <v>29</v>
      </c>
      <c r="H38" s="15" t="s">
        <v>29</v>
      </c>
      <c r="I38" s="15" t="s">
        <v>29</v>
      </c>
      <c r="J38" s="14" t="s">
        <v>29</v>
      </c>
      <c r="K38" s="14" t="s">
        <v>29</v>
      </c>
      <c r="L38" s="14" t="s">
        <v>29</v>
      </c>
      <c r="M38" s="14" t="s">
        <v>29</v>
      </c>
      <c r="N38" s="14" t="s">
        <v>29</v>
      </c>
      <c r="O38" s="8"/>
    </row>
    <row r="39" spans="1:15" ht="20.25">
      <c r="A39" s="44" t="s">
        <v>58</v>
      </c>
      <c r="B39" s="4"/>
      <c r="C39" s="26"/>
      <c r="D39" s="30"/>
      <c r="E39" s="20"/>
      <c r="F39" s="20"/>
      <c r="G39" s="15" t="s">
        <v>29</v>
      </c>
      <c r="H39" s="15" t="s">
        <v>29</v>
      </c>
      <c r="I39" s="15" t="s">
        <v>29</v>
      </c>
      <c r="J39" s="14" t="s">
        <v>29</v>
      </c>
      <c r="K39" s="14" t="s">
        <v>29</v>
      </c>
      <c r="L39" s="14" t="s">
        <v>29</v>
      </c>
      <c r="M39" s="14" t="s">
        <v>29</v>
      </c>
      <c r="N39" s="14" t="s">
        <v>29</v>
      </c>
      <c r="O39" s="8"/>
    </row>
    <row r="40" spans="1:15" ht="20.25">
      <c r="A40" s="44" t="s">
        <v>59</v>
      </c>
      <c r="B40" s="4"/>
      <c r="C40" s="26"/>
      <c r="D40" s="30"/>
      <c r="E40" s="20"/>
      <c r="F40" s="20"/>
      <c r="G40" s="15" t="s">
        <v>29</v>
      </c>
      <c r="H40" s="15" t="s">
        <v>29</v>
      </c>
      <c r="I40" s="15" t="s">
        <v>29</v>
      </c>
      <c r="J40" s="14" t="s">
        <v>29</v>
      </c>
      <c r="K40" s="14" t="s">
        <v>29</v>
      </c>
      <c r="L40" s="14" t="s">
        <v>29</v>
      </c>
      <c r="M40" s="14" t="s">
        <v>29</v>
      </c>
      <c r="N40" s="14" t="s">
        <v>29</v>
      </c>
      <c r="O40" s="8"/>
    </row>
    <row r="41" spans="1:15" ht="20.25">
      <c r="A41" s="44" t="s">
        <v>60</v>
      </c>
      <c r="B41" s="4"/>
      <c r="C41" s="26"/>
      <c r="D41" s="30"/>
      <c r="E41" s="20"/>
      <c r="F41" s="20"/>
      <c r="G41" s="15" t="s">
        <v>29</v>
      </c>
      <c r="H41" s="15" t="s">
        <v>29</v>
      </c>
      <c r="I41" s="15" t="s">
        <v>29</v>
      </c>
      <c r="J41" s="14" t="s">
        <v>29</v>
      </c>
      <c r="K41" s="14" t="s">
        <v>29</v>
      </c>
      <c r="L41" s="14" t="s">
        <v>29</v>
      </c>
      <c r="M41" s="14" t="s">
        <v>29</v>
      </c>
      <c r="N41" s="14" t="s">
        <v>29</v>
      </c>
      <c r="O41" s="8"/>
    </row>
    <row r="42" spans="1:15" ht="20.25">
      <c r="A42" s="44" t="s">
        <v>61</v>
      </c>
      <c r="B42" s="4"/>
      <c r="C42" s="26"/>
      <c r="D42" s="30"/>
      <c r="E42" s="20"/>
      <c r="F42" s="20"/>
      <c r="G42" s="15" t="s">
        <v>29</v>
      </c>
      <c r="H42" s="15" t="s">
        <v>29</v>
      </c>
      <c r="I42" s="15" t="s">
        <v>29</v>
      </c>
      <c r="J42" s="14" t="s">
        <v>29</v>
      </c>
      <c r="K42" s="14" t="s">
        <v>29</v>
      </c>
      <c r="L42" s="14" t="s">
        <v>29</v>
      </c>
      <c r="M42" s="14" t="s">
        <v>29</v>
      </c>
      <c r="N42" s="14" t="s">
        <v>29</v>
      </c>
      <c r="O42" s="8"/>
    </row>
    <row r="43" spans="1:15" ht="20.25">
      <c r="A43" s="44" t="s">
        <v>62</v>
      </c>
      <c r="B43" s="4"/>
      <c r="C43" s="26"/>
      <c r="D43" s="30"/>
      <c r="E43" s="20"/>
      <c r="F43" s="20"/>
      <c r="G43" s="15" t="s">
        <v>29</v>
      </c>
      <c r="H43" s="15" t="s">
        <v>29</v>
      </c>
      <c r="I43" s="15" t="s">
        <v>29</v>
      </c>
      <c r="J43" s="14" t="s">
        <v>29</v>
      </c>
      <c r="K43" s="14" t="s">
        <v>29</v>
      </c>
      <c r="L43" s="14" t="s">
        <v>29</v>
      </c>
      <c r="M43" s="14" t="s">
        <v>29</v>
      </c>
      <c r="N43" s="14" t="s">
        <v>29</v>
      </c>
      <c r="O43" s="8"/>
    </row>
    <row r="44" spans="1:15" ht="20.25">
      <c r="A44" s="44" t="s">
        <v>63</v>
      </c>
      <c r="B44" s="4"/>
      <c r="C44" s="26"/>
      <c r="D44" s="30"/>
      <c r="E44" s="20"/>
      <c r="F44" s="20"/>
      <c r="G44" s="15" t="s">
        <v>29</v>
      </c>
      <c r="H44" s="15" t="s">
        <v>29</v>
      </c>
      <c r="I44" s="15" t="s">
        <v>29</v>
      </c>
      <c r="J44" s="14" t="s">
        <v>29</v>
      </c>
      <c r="K44" s="14" t="s">
        <v>29</v>
      </c>
      <c r="L44" s="14" t="s">
        <v>29</v>
      </c>
      <c r="M44" s="14" t="s">
        <v>29</v>
      </c>
      <c r="N44" s="14" t="s">
        <v>29</v>
      </c>
      <c r="O44" s="8"/>
    </row>
    <row r="45" spans="1:15" ht="20.25">
      <c r="A45" s="44" t="s">
        <v>64</v>
      </c>
      <c r="B45" s="4"/>
      <c r="C45" s="26"/>
      <c r="D45" s="30"/>
      <c r="E45" s="20"/>
      <c r="F45" s="20"/>
      <c r="G45" s="15" t="s">
        <v>29</v>
      </c>
      <c r="H45" s="15" t="s">
        <v>29</v>
      </c>
      <c r="I45" s="15" t="s">
        <v>29</v>
      </c>
      <c r="J45" s="14" t="s">
        <v>29</v>
      </c>
      <c r="K45" s="14" t="s">
        <v>29</v>
      </c>
      <c r="L45" s="14" t="s">
        <v>29</v>
      </c>
      <c r="M45" s="14" t="s">
        <v>29</v>
      </c>
      <c r="N45" s="14" t="s">
        <v>29</v>
      </c>
      <c r="O45" s="8"/>
    </row>
    <row r="46" spans="1:15" ht="20.25">
      <c r="A46" s="44" t="s">
        <v>65</v>
      </c>
      <c r="B46" s="4"/>
      <c r="C46" s="26"/>
      <c r="D46" s="30"/>
      <c r="E46" s="20"/>
      <c r="F46" s="20"/>
      <c r="G46" s="15" t="s">
        <v>29</v>
      </c>
      <c r="H46" s="15" t="s">
        <v>29</v>
      </c>
      <c r="I46" s="15" t="s">
        <v>29</v>
      </c>
      <c r="J46" s="14" t="s">
        <v>29</v>
      </c>
      <c r="K46" s="14" t="s">
        <v>29</v>
      </c>
      <c r="L46" s="14" t="s">
        <v>29</v>
      </c>
      <c r="M46" s="14" t="s">
        <v>29</v>
      </c>
      <c r="N46" s="14" t="s">
        <v>29</v>
      </c>
      <c r="O46" s="8"/>
    </row>
    <row r="47" spans="1:15" ht="20.25">
      <c r="A47" s="44" t="s">
        <v>66</v>
      </c>
      <c r="B47" s="4"/>
      <c r="C47" s="26"/>
      <c r="D47" s="30"/>
      <c r="E47" s="20"/>
      <c r="F47" s="20"/>
      <c r="G47" s="15" t="s">
        <v>29</v>
      </c>
      <c r="H47" s="15" t="s">
        <v>29</v>
      </c>
      <c r="I47" s="15" t="s">
        <v>29</v>
      </c>
      <c r="J47" s="14" t="s">
        <v>29</v>
      </c>
      <c r="K47" s="14" t="s">
        <v>29</v>
      </c>
      <c r="L47" s="14" t="s">
        <v>29</v>
      </c>
      <c r="M47" s="14" t="s">
        <v>29</v>
      </c>
      <c r="N47" s="14" t="s">
        <v>29</v>
      </c>
      <c r="O47" s="8"/>
    </row>
    <row r="48" spans="1:15" ht="20.25">
      <c r="A48" s="44" t="s">
        <v>67</v>
      </c>
      <c r="B48" s="4"/>
      <c r="C48" s="26"/>
      <c r="D48" s="30"/>
      <c r="E48" s="20"/>
      <c r="F48" s="20"/>
      <c r="G48" s="15" t="s">
        <v>29</v>
      </c>
      <c r="H48" s="15" t="s">
        <v>29</v>
      </c>
      <c r="I48" s="15" t="s">
        <v>29</v>
      </c>
      <c r="J48" s="14" t="s">
        <v>29</v>
      </c>
      <c r="K48" s="14" t="s">
        <v>29</v>
      </c>
      <c r="L48" s="14" t="s">
        <v>29</v>
      </c>
      <c r="M48" s="14" t="s">
        <v>29</v>
      </c>
      <c r="N48" s="14" t="s">
        <v>29</v>
      </c>
      <c r="O48" s="8"/>
    </row>
    <row r="49" spans="1:15" ht="20.25">
      <c r="A49" s="44" t="s">
        <v>68</v>
      </c>
      <c r="B49" s="4"/>
      <c r="C49" s="26"/>
      <c r="D49" s="30"/>
      <c r="E49" s="20"/>
      <c r="F49" s="20"/>
      <c r="G49" s="15" t="s">
        <v>29</v>
      </c>
      <c r="H49" s="15" t="s">
        <v>29</v>
      </c>
      <c r="I49" s="15" t="s">
        <v>29</v>
      </c>
      <c r="J49" s="14" t="s">
        <v>29</v>
      </c>
      <c r="K49" s="14" t="s">
        <v>29</v>
      </c>
      <c r="L49" s="14" t="s">
        <v>29</v>
      </c>
      <c r="M49" s="14" t="s">
        <v>29</v>
      </c>
      <c r="N49" s="14" t="s">
        <v>29</v>
      </c>
      <c r="O49" s="8"/>
    </row>
    <row r="50" spans="1:15" ht="20.25">
      <c r="A50" s="44" t="s">
        <v>69</v>
      </c>
      <c r="B50" s="9"/>
      <c r="C50" s="27"/>
      <c r="D50" s="31"/>
      <c r="E50" s="21"/>
      <c r="F50" s="21"/>
      <c r="G50" s="22" t="s">
        <v>29</v>
      </c>
      <c r="H50" s="22" t="s">
        <v>29</v>
      </c>
      <c r="I50" s="22" t="s">
        <v>29</v>
      </c>
      <c r="J50" s="16" t="s">
        <v>29</v>
      </c>
      <c r="K50" s="16" t="s">
        <v>29</v>
      </c>
      <c r="L50" s="16" t="s">
        <v>29</v>
      </c>
      <c r="M50" s="16" t="s">
        <v>29</v>
      </c>
      <c r="N50" s="16" t="s">
        <v>29</v>
      </c>
      <c r="O50" s="8"/>
    </row>
    <row r="51" spans="1:15" ht="20.25">
      <c r="A51" s="44" t="s">
        <v>70</v>
      </c>
      <c r="B51" s="9"/>
      <c r="C51" s="27"/>
      <c r="D51" s="31"/>
      <c r="E51" s="21"/>
      <c r="F51" s="21"/>
      <c r="G51" s="22" t="s">
        <v>29</v>
      </c>
      <c r="H51" s="22" t="s">
        <v>29</v>
      </c>
      <c r="I51" s="22" t="s">
        <v>29</v>
      </c>
      <c r="J51" s="16" t="s">
        <v>29</v>
      </c>
      <c r="K51" s="16" t="s">
        <v>29</v>
      </c>
      <c r="L51" s="16" t="s">
        <v>29</v>
      </c>
      <c r="M51" s="16" t="s">
        <v>29</v>
      </c>
      <c r="N51" s="16" t="s">
        <v>29</v>
      </c>
      <c r="O51" s="8"/>
    </row>
    <row r="52" spans="1:15" ht="20.25">
      <c r="A52" s="44" t="s">
        <v>71</v>
      </c>
      <c r="B52" s="9"/>
      <c r="C52" s="27"/>
      <c r="D52" s="31"/>
      <c r="E52" s="21"/>
      <c r="F52" s="21"/>
      <c r="G52" s="22" t="s">
        <v>29</v>
      </c>
      <c r="H52" s="22" t="s">
        <v>29</v>
      </c>
      <c r="I52" s="22" t="s">
        <v>29</v>
      </c>
      <c r="J52" s="16" t="s">
        <v>29</v>
      </c>
      <c r="K52" s="16" t="s">
        <v>29</v>
      </c>
      <c r="L52" s="16" t="s">
        <v>29</v>
      </c>
      <c r="M52" s="16" t="s">
        <v>29</v>
      </c>
      <c r="N52" s="16" t="s">
        <v>29</v>
      </c>
      <c r="O52" s="8"/>
    </row>
    <row r="53" spans="1:15" ht="20.25">
      <c r="A53" s="44" t="s">
        <v>72</v>
      </c>
      <c r="B53" s="11"/>
      <c r="C53" s="28"/>
      <c r="D53" s="32"/>
      <c r="E53" s="23"/>
      <c r="F53" s="23"/>
      <c r="G53" s="24" t="s">
        <v>29</v>
      </c>
      <c r="H53" s="24" t="s">
        <v>29</v>
      </c>
      <c r="I53" s="24" t="s">
        <v>29</v>
      </c>
      <c r="J53" s="17" t="s">
        <v>29</v>
      </c>
      <c r="K53" s="17" t="s">
        <v>29</v>
      </c>
      <c r="L53" s="17" t="s">
        <v>29</v>
      </c>
      <c r="M53" s="17" t="s">
        <v>29</v>
      </c>
      <c r="N53" s="18" t="s">
        <v>29</v>
      </c>
      <c r="O53" s="10"/>
    </row>
  </sheetData>
  <dataConsolidate/>
  <mergeCells count="2">
    <mergeCell ref="A1:B1"/>
    <mergeCell ref="J1:O1"/>
  </mergeCells>
  <phoneticPr fontId="3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Select One" xr:uid="{96A2F3DA-FF75-480A-97AB-090B26D287FA}">
          <x14:formula1>
            <xm:f>Labels!$D$2:$D$8</xm:f>
          </x14:formula1>
          <xm:sqref>G4:G53</xm:sqref>
        </x14:dataValidation>
        <x14:dataValidation type="list" allowBlank="1" showInputMessage="1" showErrorMessage="1" xr:uid="{405A9C49-4089-42AA-AFE0-4460AFFD9146}">
          <x14:formula1>
            <xm:f>Labels!$J$2:$J$8</xm:f>
          </x14:formula1>
          <xm:sqref>I4:I53</xm:sqref>
        </x14:dataValidation>
        <x14:dataValidation type="list" allowBlank="1" showInputMessage="1" showErrorMessage="1" promptTitle="Select One" xr:uid="{9C62D2D3-926B-43F9-8C13-AF3AF3159CB0}">
          <x14:formula1>
            <xm:f>Labels!$A$2:$A$7</xm:f>
          </x14:formula1>
          <xm:sqref>J4:N53</xm:sqref>
        </x14:dataValidation>
        <x14:dataValidation type="list" allowBlank="1" showInputMessage="1" showErrorMessage="1" xr:uid="{84F96692-B86B-4F3E-8808-FF882616F2A1}">
          <x14:formula1>
            <xm:f>Labels!$G$2:$G$8</xm:f>
          </x14:formula1>
          <xm:sqref>H4:H53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7A8E0-0B8D-4F06-BFE0-6D59049F5476}">
  <sheetPr codeName="Sheet2"/>
  <dimension ref="A1:F4"/>
  <sheetViews>
    <sheetView workbookViewId="0">
      <selection activeCell="C4" sqref="C4"/>
    </sheetView>
  </sheetViews>
  <sheetFormatPr defaultRowHeight="14.25"/>
  <cols>
    <col min="1" max="1" width="22.5703125" style="1" customWidth="1"/>
    <col min="2" max="6" width="30.7109375" style="1" customWidth="1"/>
    <col min="7" max="16384" width="9.140625" style="1"/>
  </cols>
  <sheetData>
    <row r="1" spans="1:6" ht="44.25">
      <c r="A1" s="3"/>
      <c r="B1" s="61" t="s">
        <v>0</v>
      </c>
      <c r="C1" s="61"/>
      <c r="D1" s="61"/>
      <c r="E1" s="61"/>
      <c r="F1" s="61"/>
    </row>
    <row r="2" spans="1:6" ht="20.25">
      <c r="A2" s="3"/>
      <c r="B2" s="47" t="s">
        <v>1</v>
      </c>
      <c r="C2" s="47" t="s">
        <v>2</v>
      </c>
      <c r="D2" s="47" t="s">
        <v>3</v>
      </c>
      <c r="E2" s="47" t="s">
        <v>4</v>
      </c>
      <c r="F2" s="48" t="s">
        <v>34</v>
      </c>
    </row>
    <row r="3" spans="1:6" ht="90" customHeight="1">
      <c r="A3" s="3"/>
      <c r="B3" s="49" t="str">
        <f>Table5[[#This Row],[H1]]</f>
        <v>Enter Hypothesis</v>
      </c>
      <c r="C3" s="49" t="str">
        <f>Table5[[#This Row],[H2]]</f>
        <v>Enter Hypothesis</v>
      </c>
      <c r="D3" s="49" t="str">
        <f>Table5[[#This Row],[H3]]</f>
        <v>Enter Hypothesis</v>
      </c>
      <c r="E3" s="49" t="str">
        <f>Table5[[#This Row],[H4]]</f>
        <v>Enter Hypothesis</v>
      </c>
      <c r="F3" s="50" t="str">
        <f>Table5[[#This Row],[H5]]</f>
        <v>Enter Hypothesis</v>
      </c>
    </row>
    <row r="4" spans="1:6" ht="25.5">
      <c r="A4" s="35" t="s">
        <v>33</v>
      </c>
      <c r="B4" s="51">
        <f>SUMIF(Calculations!B:B,"&lt;&gt;#N/A")</f>
        <v>0</v>
      </c>
      <c r="C4" s="51">
        <f>SUMIF(Calculations!C:C,"&lt;&gt;#N/A")</f>
        <v>0</v>
      </c>
      <c r="D4" s="51">
        <f>SUMIF(Calculations!D:D,"&lt;&gt;#N/A")</f>
        <v>0</v>
      </c>
      <c r="E4" s="51">
        <f>SUMIF(Calculations!E:E,"&lt;&gt;#N/A")</f>
        <v>0</v>
      </c>
      <c r="F4" s="51">
        <f>SUMIF(Calculations!F:F,"&lt;&gt;#N/A")</f>
        <v>0</v>
      </c>
    </row>
  </sheetData>
  <sheetProtection sheet="1" objects="1" scenarios="1"/>
  <mergeCells count="1">
    <mergeCell ref="B1:F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A3261-0205-4347-BDF4-5FCA5517AED7}">
  <sheetPr codeName="Sheet3"/>
  <dimension ref="A1:L8"/>
  <sheetViews>
    <sheetView zoomScale="154" zoomScaleNormal="154" workbookViewId="0">
      <selection activeCell="B3" sqref="B3"/>
    </sheetView>
  </sheetViews>
  <sheetFormatPr defaultRowHeight="14.25"/>
  <cols>
    <col min="1" max="1" width="27.5703125" style="1" customWidth="1"/>
    <col min="2" max="2" width="5.42578125" style="1" bestFit="1" customWidth="1"/>
    <col min="3" max="3" width="3.28515625" style="2" customWidth="1"/>
    <col min="4" max="4" width="28.28515625" style="1" bestFit="1" customWidth="1"/>
    <col min="5" max="5" width="5.85546875" style="1" bestFit="1" customWidth="1"/>
    <col min="6" max="6" width="3.28515625" style="2" customWidth="1"/>
    <col min="7" max="7" width="28.85546875" style="1" bestFit="1" customWidth="1"/>
    <col min="8" max="8" width="5.85546875" style="1" bestFit="1" customWidth="1"/>
    <col min="9" max="9" width="3.28515625" style="2" customWidth="1"/>
    <col min="10" max="10" width="12.5703125" style="1" customWidth="1"/>
    <col min="11" max="11" width="9.140625" style="1"/>
    <col min="12" max="12" width="3.28515625" style="1" customWidth="1"/>
    <col min="13" max="16384" width="9.140625" style="1"/>
  </cols>
  <sheetData>
    <row r="1" spans="1:12" s="2" customFormat="1">
      <c r="A1" s="52" t="s">
        <v>26</v>
      </c>
      <c r="B1" s="52"/>
      <c r="C1" s="52"/>
      <c r="D1" s="52" t="s">
        <v>27</v>
      </c>
      <c r="E1" s="52"/>
      <c r="F1" s="52"/>
      <c r="G1" s="52" t="s">
        <v>80</v>
      </c>
      <c r="H1" s="52"/>
      <c r="I1" s="52"/>
      <c r="J1" s="52" t="s">
        <v>81</v>
      </c>
      <c r="K1" s="52"/>
      <c r="L1" s="52"/>
    </row>
    <row r="2" spans="1:12">
      <c r="A2" s="1" t="s">
        <v>29</v>
      </c>
      <c r="C2" s="3"/>
      <c r="D2" s="1" t="s">
        <v>29</v>
      </c>
      <c r="F2" s="3"/>
      <c r="G2" s="1" t="s">
        <v>29</v>
      </c>
      <c r="I2" s="3"/>
      <c r="J2" s="1" t="s">
        <v>29</v>
      </c>
      <c r="L2" s="3"/>
    </row>
    <row r="3" spans="1:12">
      <c r="A3" s="1" t="s">
        <v>90</v>
      </c>
      <c r="B3" s="1">
        <v>1</v>
      </c>
      <c r="C3" s="3"/>
      <c r="D3" s="1" t="s">
        <v>74</v>
      </c>
      <c r="E3" s="1">
        <v>0.9</v>
      </c>
      <c r="F3" s="3"/>
      <c r="G3" s="1" t="s">
        <v>82</v>
      </c>
      <c r="H3" s="1">
        <v>0.9</v>
      </c>
      <c r="I3" s="3"/>
      <c r="J3" s="1" t="s">
        <v>87</v>
      </c>
      <c r="K3" s="1">
        <v>0.9</v>
      </c>
      <c r="L3" s="3"/>
    </row>
    <row r="4" spans="1:12">
      <c r="A4" s="1" t="s">
        <v>23</v>
      </c>
      <c r="B4" s="1">
        <v>0.5</v>
      </c>
      <c r="C4" s="3"/>
      <c r="D4" s="1" t="s">
        <v>75</v>
      </c>
      <c r="E4" s="1">
        <v>0.7</v>
      </c>
      <c r="F4" s="3"/>
      <c r="G4" s="1" t="s">
        <v>83</v>
      </c>
      <c r="H4" s="1">
        <v>0.7</v>
      </c>
      <c r="I4" s="3"/>
      <c r="J4" s="1" t="s">
        <v>30</v>
      </c>
      <c r="K4" s="1">
        <v>0.7</v>
      </c>
      <c r="L4" s="3"/>
    </row>
    <row r="5" spans="1:12">
      <c r="A5" s="1" t="s">
        <v>22</v>
      </c>
      <c r="B5" s="1">
        <v>0</v>
      </c>
      <c r="C5" s="3"/>
      <c r="D5" s="1" t="s">
        <v>76</v>
      </c>
      <c r="E5" s="1">
        <v>0.5</v>
      </c>
      <c r="F5" s="3"/>
      <c r="G5" s="1" t="s">
        <v>84</v>
      </c>
      <c r="H5" s="1">
        <v>0.5</v>
      </c>
      <c r="I5" s="3"/>
      <c r="J5" s="1" t="s">
        <v>31</v>
      </c>
      <c r="K5" s="1">
        <v>0.5</v>
      </c>
      <c r="L5" s="3"/>
    </row>
    <row r="6" spans="1:12">
      <c r="A6" s="1" t="s">
        <v>91</v>
      </c>
      <c r="B6" s="1">
        <v>-0.5</v>
      </c>
      <c r="C6" s="3"/>
      <c r="D6" s="1" t="s">
        <v>77</v>
      </c>
      <c r="E6" s="1">
        <v>0.3</v>
      </c>
      <c r="F6" s="3"/>
      <c r="G6" s="1" t="s">
        <v>85</v>
      </c>
      <c r="H6" s="1">
        <v>0.3</v>
      </c>
      <c r="I6" s="3"/>
      <c r="J6" s="1" t="s">
        <v>32</v>
      </c>
      <c r="K6" s="1">
        <v>0.3</v>
      </c>
      <c r="L6" s="3"/>
    </row>
    <row r="7" spans="1:12">
      <c r="A7" s="1" t="s">
        <v>92</v>
      </c>
      <c r="B7" s="1">
        <v>-1</v>
      </c>
      <c r="C7" s="3"/>
      <c r="D7" s="1" t="s">
        <v>78</v>
      </c>
      <c r="E7" s="1">
        <v>0.1</v>
      </c>
      <c r="F7" s="3"/>
      <c r="G7" s="1" t="s">
        <v>86</v>
      </c>
      <c r="H7" s="1">
        <v>0.1</v>
      </c>
      <c r="I7" s="3"/>
      <c r="J7" s="1" t="s">
        <v>88</v>
      </c>
      <c r="K7" s="1">
        <v>0.1</v>
      </c>
      <c r="L7" s="3"/>
    </row>
    <row r="8" spans="1:12">
      <c r="C8" s="3"/>
      <c r="D8" s="1" t="s">
        <v>79</v>
      </c>
      <c r="E8" s="1">
        <v>0.01</v>
      </c>
      <c r="F8" s="3"/>
      <c r="G8" s="1" t="s">
        <v>94</v>
      </c>
      <c r="H8" s="1">
        <v>0.01</v>
      </c>
      <c r="I8" s="3"/>
      <c r="J8" s="1" t="s">
        <v>89</v>
      </c>
      <c r="K8" s="1">
        <v>0</v>
      </c>
      <c r="L8" s="3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B1A13-3879-402C-B19D-DAA5C952CCA7}">
  <sheetPr codeName="Sheet4"/>
  <dimension ref="A1:F51"/>
  <sheetViews>
    <sheetView tabSelected="1" workbookViewId="0">
      <selection activeCell="B2" sqref="B2"/>
    </sheetView>
  </sheetViews>
  <sheetFormatPr defaultRowHeight="14.25"/>
  <cols>
    <col min="1" max="1" width="9.140625" style="1"/>
    <col min="2" max="5" width="7.85546875" style="1" bestFit="1" customWidth="1"/>
    <col min="6" max="6" width="8.5703125" style="1" bestFit="1" customWidth="1"/>
    <col min="7" max="16384" width="9.140625" style="1"/>
  </cols>
  <sheetData>
    <row r="1" spans="1:6" ht="33" customHeight="1">
      <c r="A1" s="53"/>
      <c r="B1" s="54" t="s">
        <v>1</v>
      </c>
      <c r="C1" s="54" t="s">
        <v>2</v>
      </c>
      <c r="D1" s="54" t="s">
        <v>3</v>
      </c>
      <c r="E1" s="54" t="s">
        <v>4</v>
      </c>
      <c r="F1" s="54" t="s">
        <v>34</v>
      </c>
    </row>
    <row r="2" spans="1:6">
      <c r="A2" s="53" t="s">
        <v>6</v>
      </c>
      <c r="B2" s="55">
        <f>IF(ISBLANK(Analysis!B4),0,VLOOKUP(Analysis!J4,Determination,2,0)*VLOOKUP(Analysis!G4,Credibility,2,0)*VLOOKUP(Analysis!H4,Reliability,2,0)*VLOOKUP(Analysis!I4,Relavancy,2,0))</f>
        <v>0</v>
      </c>
      <c r="C2" s="55">
        <f>IF(ISBLANK(Analysis!B4),0,VLOOKUP(Analysis!K4,Determination,2,0)*VLOOKUP(Analysis!G4,Credibility,2,0)*VLOOKUP(Analysis!H4,Reliability,2,0)*VLOOKUP(Analysis!I4,Relavancy,2,0))</f>
        <v>0</v>
      </c>
      <c r="D2" s="55">
        <f>IF(ISBLANK(Analysis!B4),0,VLOOKUP(Analysis!L4,Determination,2,0)*VLOOKUP(Analysis!G4,Credibility,2,0)*VLOOKUP(Analysis!H4,Reliability,2,0)*VLOOKUP(Analysis!I4,Relavancy,2,0))</f>
        <v>0</v>
      </c>
      <c r="E2" s="55">
        <f>IF(ISBLANK(Analysis!B4),0,VLOOKUP(Analysis!M4,Determination,2,0)*VLOOKUP(Analysis!G4,Credibility,2,0)*VLOOKUP(Analysis!H4,Reliability,2,0)*VLOOKUP(Analysis!I4,Relavancy,2,0))</f>
        <v>0</v>
      </c>
      <c r="F2" s="55">
        <f>IF(ISBLANK(Analysis!B4),0,VLOOKUP(Analysis!N4,Determination,2,0)*VLOOKUP(Analysis!G4,Credibility,2,0)*VLOOKUP(Analysis!H4,Reliability,2,0)*VLOOKUP(Analysis!I4,Relavancy,2,0))</f>
        <v>0</v>
      </c>
    </row>
    <row r="3" spans="1:6">
      <c r="A3" s="53" t="s">
        <v>7</v>
      </c>
      <c r="B3" s="55">
        <f>IF(ISBLANK(Analysis!B5),0,VLOOKUP(Analysis!J5,Determination,2,0)*VLOOKUP(Analysis!G5,Credibility,2,0)*VLOOKUP(Analysis!H5,Reliability,2,0)*VLOOKUP(Analysis!I5,Relavancy,2,0))</f>
        <v>0</v>
      </c>
      <c r="C3" s="55">
        <f>IF(ISBLANK(Analysis!B5),0,VLOOKUP(Analysis!K5,Determination,2,0)*VLOOKUP(Analysis!G5,Credibility,2,0)*VLOOKUP(Analysis!H5,Reliability,2,0)*VLOOKUP(Analysis!I5,Relavancy,2,0))</f>
        <v>0</v>
      </c>
      <c r="D3" s="55">
        <f>IF(ISBLANK(Analysis!B5),0,VLOOKUP(Analysis!L5,Determination,2,0)*VLOOKUP(Analysis!G5,Credibility,2,0)*VLOOKUP(Analysis!H5,Reliability,2,0)*VLOOKUP(Analysis!I5,Relavancy,2,0))</f>
        <v>0</v>
      </c>
      <c r="E3" s="55">
        <f>IF(ISBLANK(Analysis!B5),0,VLOOKUP(Analysis!M5,Determination,2,0)*VLOOKUP(Analysis!G5,Credibility,2,0)*VLOOKUP(Analysis!H5,Reliability,2,0)*VLOOKUP(Analysis!I5,Relavancy,2,0))</f>
        <v>0</v>
      </c>
      <c r="F3" s="55">
        <f>IF(ISBLANK(Analysis!B5),0,VLOOKUP(Analysis!N5,Determination,2,0)*VLOOKUP(Analysis!G5,Credibility,2,0)*VLOOKUP(Analysis!H5,Reliability,2,0)*VLOOKUP(Analysis!I5,Relavancy,2,0))</f>
        <v>0</v>
      </c>
    </row>
    <row r="4" spans="1:6">
      <c r="A4" s="53" t="s">
        <v>8</v>
      </c>
      <c r="B4" s="55">
        <f>IF(ISBLANK(Analysis!B6),0,VLOOKUP(Analysis!J6,Determination,2,0)*VLOOKUP(Analysis!G6,Credibility,2,0)*VLOOKUP(Analysis!H6,Reliability,2,0)*VLOOKUP(Analysis!I6,Relavancy,2,0))</f>
        <v>0</v>
      </c>
      <c r="C4" s="55">
        <f>IF(ISBLANK(Analysis!B6),0,VLOOKUP(Analysis!K6,Determination,2,0)*VLOOKUP(Analysis!G6,Credibility,2,0)*VLOOKUP(Analysis!H6,Reliability,2,0)*VLOOKUP(Analysis!I6,Relavancy,2,0))</f>
        <v>0</v>
      </c>
      <c r="D4" s="55">
        <f>IF(ISBLANK(Analysis!B6),0,VLOOKUP(Analysis!L6,Determination,2,0)*VLOOKUP(Analysis!G6,Credibility,2,0)*VLOOKUP(Analysis!H6,Reliability,2,0)*VLOOKUP(Analysis!I6,Relavancy,2,0))</f>
        <v>0</v>
      </c>
      <c r="E4" s="55">
        <f>IF(ISBLANK(Analysis!B6),0,VLOOKUP(Analysis!M6,Determination,2,0)*VLOOKUP(Analysis!G6,Credibility,2,0)*VLOOKUP(Analysis!H6,Reliability,2,0)*VLOOKUP(Analysis!I6,Relavancy,2,0))</f>
        <v>0</v>
      </c>
      <c r="F4" s="55">
        <f>IF(ISBLANK(Analysis!B6),0,VLOOKUP(Analysis!N6,Determination,2,0)*VLOOKUP(Analysis!G6,Credibility,2,0)*VLOOKUP(Analysis!H6,Reliability,2,0)*VLOOKUP(Analysis!I6,Relavancy,2,0))</f>
        <v>0</v>
      </c>
    </row>
    <row r="5" spans="1:6">
      <c r="A5" s="53" t="s">
        <v>9</v>
      </c>
      <c r="B5" s="55">
        <f>IF(ISBLANK(Analysis!B7),0,VLOOKUP(Analysis!J7,Determination,2,0)*VLOOKUP(Analysis!G7,Credibility,2,0)*VLOOKUP(Analysis!H7,Reliability,2,0)*VLOOKUP(Analysis!I7,Relavancy,2,0))</f>
        <v>0</v>
      </c>
      <c r="C5" s="55">
        <f>IF(ISBLANK(Analysis!B7),0,VLOOKUP(Analysis!K7,Determination,2,0)*VLOOKUP(Analysis!G7,Credibility,2,0)*VLOOKUP(Analysis!H7,Reliability,2,0)*VLOOKUP(Analysis!I7,Relavancy,2,0))</f>
        <v>0</v>
      </c>
      <c r="D5" s="55">
        <f>IF(ISBLANK(Analysis!B7),0,VLOOKUP(Analysis!L7,Determination,2,0)*VLOOKUP(Analysis!G7,Credibility,2,0)*VLOOKUP(Analysis!H7,Reliability,2,0)*VLOOKUP(Analysis!I7,Relavancy,2,0))</f>
        <v>0</v>
      </c>
      <c r="E5" s="55">
        <f>IF(ISBLANK(Analysis!B7),0,VLOOKUP(Analysis!M7,Determination,2,0)*VLOOKUP(Analysis!G7,Credibility,2,0)*VLOOKUP(Analysis!H7,Reliability,2,0)*VLOOKUP(Analysis!I7,Relavancy,2,0))</f>
        <v>0</v>
      </c>
      <c r="F5" s="55">
        <f>IF(ISBLANK(Analysis!B7),0,VLOOKUP(Analysis!N7,Determination,2,0)*VLOOKUP(Analysis!G7,Credibility,2,0)*VLOOKUP(Analysis!H7,Reliability,2,0)*VLOOKUP(Analysis!I7,Relavancy,2,0))</f>
        <v>0</v>
      </c>
    </row>
    <row r="6" spans="1:6">
      <c r="A6" s="53" t="s">
        <v>10</v>
      </c>
      <c r="B6" s="55">
        <f>IF(ISBLANK(Analysis!B8),0,VLOOKUP(Analysis!J8,Determination,2,0)*VLOOKUP(Analysis!G8,Credibility,2,0)*VLOOKUP(Analysis!H8,Reliability,2,0)*VLOOKUP(Analysis!I8,Relavancy,2,0))</f>
        <v>0</v>
      </c>
      <c r="C6" s="55">
        <f>IF(ISBLANK(Analysis!B8),0,VLOOKUP(Analysis!K8,Determination,2,0)*VLOOKUP(Analysis!G8,Credibility,2,0)*VLOOKUP(Analysis!H8,Reliability,2,0)*VLOOKUP(Analysis!I8,Relavancy,2,0))</f>
        <v>0</v>
      </c>
      <c r="D6" s="55">
        <f>IF(ISBLANK(Analysis!B8),0,VLOOKUP(Analysis!L8,Determination,2,0)*VLOOKUP(Analysis!G8,Credibility,2,0)*VLOOKUP(Analysis!H8,Reliability,2,0)*VLOOKUP(Analysis!I8,Relavancy,2,0))</f>
        <v>0</v>
      </c>
      <c r="E6" s="55">
        <f>IF(ISBLANK(Analysis!B8),0,VLOOKUP(Analysis!M8,Determination,2,0)*VLOOKUP(Analysis!G8,Credibility,2,0)*VLOOKUP(Analysis!H8,Reliability,2,0)*VLOOKUP(Analysis!I8,Relavancy,2,0))</f>
        <v>0</v>
      </c>
      <c r="F6" s="55">
        <f>IF(ISBLANK(Analysis!B8),0,VLOOKUP(Analysis!N8,Determination,2,0)*VLOOKUP(Analysis!G8,Credibility,2,0)*VLOOKUP(Analysis!H8,Reliability,2,0)*VLOOKUP(Analysis!I8,Relavancy,2,0))</f>
        <v>0</v>
      </c>
    </row>
    <row r="7" spans="1:6">
      <c r="A7" s="53" t="s">
        <v>11</v>
      </c>
      <c r="B7" s="55">
        <f>IF(ISBLANK(Analysis!B9),0,VLOOKUP(Analysis!J9,Determination,2,0)*VLOOKUP(Analysis!G9,Credibility,2,0)*VLOOKUP(Analysis!H9,Reliability,2,0)*VLOOKUP(Analysis!I9,Relavancy,2,0))</f>
        <v>0</v>
      </c>
      <c r="C7" s="55">
        <f>IF(ISBLANK(Analysis!B9),0,VLOOKUP(Analysis!K9,Determination,2,0)*VLOOKUP(Analysis!G9,Credibility,2,0)*VLOOKUP(Analysis!H9,Reliability,2,0)*VLOOKUP(Analysis!I9,Relavancy,2,0))</f>
        <v>0</v>
      </c>
      <c r="D7" s="55">
        <f>IF(ISBLANK(Analysis!B9),0,VLOOKUP(Analysis!L9,Determination,2,0)*VLOOKUP(Analysis!G9,Credibility,2,0)*VLOOKUP(Analysis!H9,Reliability,2,0)*VLOOKUP(Analysis!I9,Relavancy,2,0))</f>
        <v>0</v>
      </c>
      <c r="E7" s="55">
        <f>IF(ISBLANK(Analysis!B9),0,VLOOKUP(Analysis!M9,Determination,2,0)*VLOOKUP(Analysis!G9,Credibility,2,0)*VLOOKUP(Analysis!H9,Reliability,2,0)*VLOOKUP(Analysis!I9,Relavancy,2,0))</f>
        <v>0</v>
      </c>
      <c r="F7" s="55">
        <f>IF(ISBLANK(Analysis!B9),0,VLOOKUP(Analysis!N9,Determination,2,0)*VLOOKUP(Analysis!G9,Credibility,2,0)*VLOOKUP(Analysis!H9,Reliability,2,0)*VLOOKUP(Analysis!I9,Relavancy,2,0))</f>
        <v>0</v>
      </c>
    </row>
    <row r="8" spans="1:6">
      <c r="A8" s="53" t="s">
        <v>12</v>
      </c>
      <c r="B8" s="55">
        <f>IF(ISBLANK(Analysis!B10),0,VLOOKUP(Analysis!J10,Determination,2,0)*VLOOKUP(Analysis!G10,Credibility,2,0)*VLOOKUP(Analysis!H10,Reliability,2,0)*VLOOKUP(Analysis!I10,Relavancy,2,0))</f>
        <v>0</v>
      </c>
      <c r="C8" s="55">
        <f>IF(ISBLANK(Analysis!B10),0,VLOOKUP(Analysis!K10,Determination,2,0)*VLOOKUP(Analysis!G10,Credibility,2,0)*VLOOKUP(Analysis!H10,Reliability,2,0)*VLOOKUP(Analysis!I10,Relavancy,2,0))</f>
        <v>0</v>
      </c>
      <c r="D8" s="55">
        <f>IF(ISBLANK(Analysis!B10),0,VLOOKUP(Analysis!L10,Determination,2,0)*VLOOKUP(Analysis!G10,Credibility,2,0)*VLOOKUP(Analysis!H10,Reliability,2,0)*VLOOKUP(Analysis!I10,Relavancy,2,0))</f>
        <v>0</v>
      </c>
      <c r="E8" s="55">
        <f>IF(ISBLANK(Analysis!B10),0,VLOOKUP(Analysis!M10,Determination,2,0)*VLOOKUP(Analysis!G10,Credibility,2,0)*VLOOKUP(Analysis!H10,Reliability,2,0)*VLOOKUP(Analysis!I10,Relavancy,2,0))</f>
        <v>0</v>
      </c>
      <c r="F8" s="55">
        <f>IF(ISBLANK(Analysis!B10),0,VLOOKUP(Analysis!N10,Determination,2,0)*VLOOKUP(Analysis!G10,Credibility,2,0)*VLOOKUP(Analysis!H10,Reliability,2,0)*VLOOKUP(Analysis!I10,Relavancy,2,0))</f>
        <v>0</v>
      </c>
    </row>
    <row r="9" spans="1:6">
      <c r="A9" s="53" t="s">
        <v>13</v>
      </c>
      <c r="B9" s="55">
        <f>IF(ISBLANK(Analysis!B11),0,VLOOKUP(Analysis!J11,Determination,2,0)*VLOOKUP(Analysis!G11,Credibility,2,0)*VLOOKUP(Analysis!H11,Reliability,2,0)*VLOOKUP(Analysis!I11,Relavancy,2,0))</f>
        <v>0</v>
      </c>
      <c r="C9" s="55">
        <f>IF(ISBLANK(Analysis!B11),0,VLOOKUP(Analysis!K11,Determination,2,0)*VLOOKUP(Analysis!G11,Credibility,2,0)*VLOOKUP(Analysis!H11,Reliability,2,0)*VLOOKUP(Analysis!I11,Relavancy,2,0))</f>
        <v>0</v>
      </c>
      <c r="D9" s="55">
        <f>IF(ISBLANK(Analysis!B11),0,VLOOKUP(Analysis!L11,Determination,2,0)*VLOOKUP(Analysis!G11,Credibility,2,0)*VLOOKUP(Analysis!H11,Reliability,2,0)*VLOOKUP(Analysis!I11,Relavancy,2,0))</f>
        <v>0</v>
      </c>
      <c r="E9" s="55">
        <f>IF(ISBLANK(Analysis!B11),0,VLOOKUP(Analysis!M11,Determination,2,0)*VLOOKUP(Analysis!G11,Credibility,2,0)*VLOOKUP(Analysis!H11,Reliability,2,0)*VLOOKUP(Analysis!I11,Relavancy,2,0))</f>
        <v>0</v>
      </c>
      <c r="F9" s="55">
        <f>IF(ISBLANK(Analysis!B11),0,VLOOKUP(Analysis!N11,Determination,2,0)*VLOOKUP(Analysis!G11,Credibility,2,0)*VLOOKUP(Analysis!H11,Reliability,2,0)*VLOOKUP(Analysis!I11,Relavancy,2,0))</f>
        <v>0</v>
      </c>
    </row>
    <row r="10" spans="1:6">
      <c r="A10" s="53" t="s">
        <v>14</v>
      </c>
      <c r="B10" s="55">
        <f>IF(ISBLANK(Analysis!B12),0,VLOOKUP(Analysis!J12,Determination,2,0)*VLOOKUP(Analysis!G12,Credibility,2,0)*VLOOKUP(Analysis!H12,Reliability,2,0)*VLOOKUP(Analysis!I12,Relavancy,2,0))</f>
        <v>0</v>
      </c>
      <c r="C10" s="55">
        <f>IF(ISBLANK(Analysis!B12),0,VLOOKUP(Analysis!K12,Determination,2,0)*VLOOKUP(Analysis!G12,Credibility,2,0)*VLOOKUP(Analysis!H12,Reliability,2,0)*VLOOKUP(Analysis!I12,Relavancy,2,0))</f>
        <v>0</v>
      </c>
      <c r="D10" s="55">
        <f>IF(ISBLANK(Analysis!B12),0,VLOOKUP(Analysis!L12,Determination,2,0)*VLOOKUP(Analysis!G12,Credibility,2,0)*VLOOKUP(Analysis!H12,Reliability,2,0)*VLOOKUP(Analysis!I12,Relavancy,2,0))</f>
        <v>0</v>
      </c>
      <c r="E10" s="55">
        <f>IF(ISBLANK(Analysis!B12),0,VLOOKUP(Analysis!M12,Determination,2,0)*VLOOKUP(Analysis!G12,Credibility,2,0)*VLOOKUP(Analysis!H12,Reliability,2,0)*VLOOKUP(Analysis!I12,Relavancy,2,0))</f>
        <v>0</v>
      </c>
      <c r="F10" s="55">
        <f>IF(ISBLANK(Analysis!B12),0,VLOOKUP(Analysis!N12,Determination,2,0)*VLOOKUP(Analysis!G12,Credibility,2,0)*VLOOKUP(Analysis!H12,Reliability,2,0)*VLOOKUP(Analysis!I12,Relavancy,2,0))</f>
        <v>0</v>
      </c>
    </row>
    <row r="11" spans="1:6">
      <c r="A11" s="53" t="s">
        <v>15</v>
      </c>
      <c r="B11" s="55">
        <f>IF(ISBLANK(Analysis!B13),0,VLOOKUP(Analysis!J13,Determination,2,0)*VLOOKUP(Analysis!G13,Credibility,2,0)*VLOOKUP(Analysis!H13,Reliability,2,0)*VLOOKUP(Analysis!I13,Relavancy,2,0))</f>
        <v>0</v>
      </c>
      <c r="C11" s="55">
        <f>IF(ISBLANK(Analysis!B13),0,VLOOKUP(Analysis!K13,Determination,2,0)*VLOOKUP(Analysis!G13,Credibility,2,0)*VLOOKUP(Analysis!H13,Reliability,2,0)*VLOOKUP(Analysis!I13,Relavancy,2,0))</f>
        <v>0</v>
      </c>
      <c r="D11" s="55">
        <f>IF(ISBLANK(Analysis!B13),0,VLOOKUP(Analysis!L13,Determination,2,0)*VLOOKUP(Analysis!G13,Credibility,2,0)*VLOOKUP(Analysis!H13,Reliability,2,0)*VLOOKUP(Analysis!I13,Relavancy,2,0))</f>
        <v>0</v>
      </c>
      <c r="E11" s="55">
        <f>IF(ISBLANK(Analysis!B13),0,VLOOKUP(Analysis!M13,Determination,2,0)*VLOOKUP(Analysis!G13,Credibility,2,0)*VLOOKUP(Analysis!H13,Reliability,2,0)*VLOOKUP(Analysis!I13,Relavancy,2,0))</f>
        <v>0</v>
      </c>
      <c r="F11" s="55">
        <f>IF(ISBLANK(Analysis!B13),0,VLOOKUP(Analysis!N13,Determination,2,0)*VLOOKUP(Analysis!G13,Credibility,2,0)*VLOOKUP(Analysis!H13,Reliability,2,0)*VLOOKUP(Analysis!I13,Relavancy,2,0))</f>
        <v>0</v>
      </c>
    </row>
    <row r="12" spans="1:6">
      <c r="A12" s="53" t="s">
        <v>16</v>
      </c>
      <c r="B12" s="55">
        <f>IF(ISBLANK(Analysis!B14),0,VLOOKUP(Analysis!J14,Determination,2,0)*VLOOKUP(Analysis!G14,Credibility,2,0)*VLOOKUP(Analysis!H14,Reliability,2,0)*VLOOKUP(Analysis!I14,Relavancy,2,0))</f>
        <v>0</v>
      </c>
      <c r="C12" s="55">
        <f>IF(ISBLANK(Analysis!B14),0,VLOOKUP(Analysis!K14,Determination,2,0)*VLOOKUP(Analysis!G14,Credibility,2,0)*VLOOKUP(Analysis!H14,Reliability,2,0)*VLOOKUP(Analysis!I14,Relavancy,2,0))</f>
        <v>0</v>
      </c>
      <c r="D12" s="55">
        <f>IF(ISBLANK(Analysis!B14),0,VLOOKUP(Analysis!L14,Determination,2,0)*VLOOKUP(Analysis!G14,Credibility,2,0)*VLOOKUP(Analysis!H14,Reliability,2,0)*VLOOKUP(Analysis!I14,Relavancy,2,0))</f>
        <v>0</v>
      </c>
      <c r="E12" s="55">
        <f>IF(ISBLANK(Analysis!B14),0,VLOOKUP(Analysis!M14,Determination,2,0)*VLOOKUP(Analysis!G14,Credibility,2,0)*VLOOKUP(Analysis!H14,Reliability,2,0)*VLOOKUP(Analysis!I14,Relavancy,2,0))</f>
        <v>0</v>
      </c>
      <c r="F12" s="55">
        <f>IF(ISBLANK(Analysis!B14),0,VLOOKUP(Analysis!N14,Determination,2,0)*VLOOKUP(Analysis!G14,Credibility,2,0)*VLOOKUP(Analysis!H14,Reliability,2,0)*VLOOKUP(Analysis!I14,Relavancy,2,0))</f>
        <v>0</v>
      </c>
    </row>
    <row r="13" spans="1:6">
      <c r="A13" s="53" t="s">
        <v>17</v>
      </c>
      <c r="B13" s="55">
        <f>IF(ISBLANK(Analysis!B15),0,VLOOKUP(Analysis!J15,Determination,2,0)*VLOOKUP(Analysis!G15,Credibility,2,0)*VLOOKUP(Analysis!H15,Reliability,2,0)*VLOOKUP(Analysis!I15,Relavancy,2,0))</f>
        <v>0</v>
      </c>
      <c r="C13" s="55">
        <f>IF(ISBLANK(Analysis!B15),0,VLOOKUP(Analysis!K15,Determination,2,0)*VLOOKUP(Analysis!G15,Credibility,2,0)*VLOOKUP(Analysis!H15,Reliability,2,0)*VLOOKUP(Analysis!I15,Relavancy,2,0))</f>
        <v>0</v>
      </c>
      <c r="D13" s="55">
        <f>IF(ISBLANK(Analysis!B15),0,VLOOKUP(Analysis!L15,Determination,2,0)*VLOOKUP(Analysis!G15,Credibility,2,0)*VLOOKUP(Analysis!H15,Reliability,2,0)*VLOOKUP(Analysis!I15,Relavancy,2,0))</f>
        <v>0</v>
      </c>
      <c r="E13" s="55">
        <f>IF(ISBLANK(Analysis!B15),0,VLOOKUP(Analysis!M15,Determination,2,0)*VLOOKUP(Analysis!G15,Credibility,2,0)*VLOOKUP(Analysis!H15,Reliability,2,0)*VLOOKUP(Analysis!I15,Relavancy,2,0))</f>
        <v>0</v>
      </c>
      <c r="F13" s="55">
        <f>IF(ISBLANK(Analysis!B15),0,VLOOKUP(Analysis!N15,Determination,2,0)*VLOOKUP(Analysis!G15,Credibility,2,0)*VLOOKUP(Analysis!H15,Reliability,2,0)*VLOOKUP(Analysis!I15,Relavancy,2,0))</f>
        <v>0</v>
      </c>
    </row>
    <row r="14" spans="1:6">
      <c r="A14" s="53" t="s">
        <v>18</v>
      </c>
      <c r="B14" s="55">
        <f>IF(ISBLANK(Analysis!B16),0,VLOOKUP(Analysis!J16,Determination,2,0)*VLOOKUP(Analysis!G16,Credibility,2,0)*VLOOKUP(Analysis!H16,Reliability,2,0)*VLOOKUP(Analysis!I16,Relavancy,2,0))</f>
        <v>0</v>
      </c>
      <c r="C14" s="55">
        <f>IF(ISBLANK(Analysis!B16),0,VLOOKUP(Analysis!K16,Determination,2,0)*VLOOKUP(Analysis!G16,Credibility,2,0)*VLOOKUP(Analysis!H16,Reliability,2,0)*VLOOKUP(Analysis!I16,Relavancy,2,0))</f>
        <v>0</v>
      </c>
      <c r="D14" s="55">
        <f>IF(ISBLANK(Analysis!B16),0,VLOOKUP(Analysis!L16,Determination,2,0)*VLOOKUP(Analysis!G16,Credibility,2,0)*VLOOKUP(Analysis!H16,Reliability,2,0)*VLOOKUP(Analysis!I16,Relavancy,2,0))</f>
        <v>0</v>
      </c>
      <c r="E14" s="55">
        <f>IF(ISBLANK(Analysis!B16),0,VLOOKUP(Analysis!M16,Determination,2,0)*VLOOKUP(Analysis!G16,Credibility,2,0)*VLOOKUP(Analysis!H16,Reliability,2,0)*VLOOKUP(Analysis!I16,Relavancy,2,0))</f>
        <v>0</v>
      </c>
      <c r="F14" s="55">
        <f>IF(ISBLANK(Analysis!B16),0,VLOOKUP(Analysis!N16,Determination,2,0)*VLOOKUP(Analysis!G16,Credibility,2,0)*VLOOKUP(Analysis!H16,Reliability,2,0)*VLOOKUP(Analysis!I16,Relavancy,2,0))</f>
        <v>0</v>
      </c>
    </row>
    <row r="15" spans="1:6">
      <c r="A15" s="53" t="s">
        <v>19</v>
      </c>
      <c r="B15" s="55">
        <f>IF(ISBLANK(Analysis!B17),0,VLOOKUP(Analysis!J17,Determination,2,0)*VLOOKUP(Analysis!G17,Credibility,2,0)*VLOOKUP(Analysis!H17,Reliability,2,0)*VLOOKUP(Analysis!I17,Relavancy,2,0))</f>
        <v>0</v>
      </c>
      <c r="C15" s="55">
        <f>IF(ISBLANK(Analysis!B17),0,VLOOKUP(Analysis!K17,Determination,2,0)*VLOOKUP(Analysis!G17,Credibility,2,0)*VLOOKUP(Analysis!H17,Reliability,2,0)*VLOOKUP(Analysis!I17,Relavancy,2,0))</f>
        <v>0</v>
      </c>
      <c r="D15" s="55">
        <f>IF(ISBLANK(Analysis!B17),0,VLOOKUP(Analysis!L17,Determination,2,0)*VLOOKUP(Analysis!G17,Credibility,2,0)*VLOOKUP(Analysis!H17,Reliability,2,0)*VLOOKUP(Analysis!I17,Relavancy,2,0))</f>
        <v>0</v>
      </c>
      <c r="E15" s="55">
        <f>IF(ISBLANK(Analysis!B17),0,VLOOKUP(Analysis!M17,Determination,2,0)*VLOOKUP(Analysis!G17,Credibility,2,0)*VLOOKUP(Analysis!H17,Reliability,2,0)*VLOOKUP(Analysis!I17,Relavancy,2,0))</f>
        <v>0</v>
      </c>
      <c r="F15" s="55">
        <f>IF(ISBLANK(Analysis!B17),0,VLOOKUP(Analysis!N17,Determination,2,0)*VLOOKUP(Analysis!G17,Credibility,2,0)*VLOOKUP(Analysis!H17,Reliability,2,0)*VLOOKUP(Analysis!I17,Relavancy,2,0))</f>
        <v>0</v>
      </c>
    </row>
    <row r="16" spans="1:6">
      <c r="A16" s="53" t="s">
        <v>20</v>
      </c>
      <c r="B16" s="55">
        <f>IF(ISBLANK(Analysis!B18),0,VLOOKUP(Analysis!J18,Determination,2,0)*VLOOKUP(Analysis!G18,Credibility,2,0)*VLOOKUP(Analysis!H18,Reliability,2,0)*VLOOKUP(Analysis!I18,Relavancy,2,0))</f>
        <v>0</v>
      </c>
      <c r="C16" s="55">
        <f>IF(ISBLANK(Analysis!B18),0,VLOOKUP(Analysis!K18,Determination,2,0)*VLOOKUP(Analysis!G18,Credibility,2,0)*VLOOKUP(Analysis!H18,Reliability,2,0)*VLOOKUP(Analysis!I18,Relavancy,2,0))</f>
        <v>0</v>
      </c>
      <c r="D16" s="55">
        <f>IF(ISBLANK(Analysis!B18),0,VLOOKUP(Analysis!L18,Determination,2,0)*VLOOKUP(Analysis!G18,Credibility,2,0)*VLOOKUP(Analysis!H18,Reliability,2,0)*VLOOKUP(Analysis!I18,Relavancy,2,0))</f>
        <v>0</v>
      </c>
      <c r="E16" s="55">
        <f>IF(ISBLANK(Analysis!B18),0,VLOOKUP(Analysis!M18,Determination,2,0)*VLOOKUP(Analysis!G18,Credibility,2,0)*VLOOKUP(Analysis!H18,Reliability,2,0)*VLOOKUP(Analysis!I18,Relavancy,2,0))</f>
        <v>0</v>
      </c>
      <c r="F16" s="55">
        <f>IF(ISBLANK(Analysis!B18),0,VLOOKUP(Analysis!N18,Determination,2,0)*VLOOKUP(Analysis!G18,Credibility,2,0)*VLOOKUP(Analysis!H18,Reliability,2,0)*VLOOKUP(Analysis!I18,Relavancy,2,0))</f>
        <v>0</v>
      </c>
    </row>
    <row r="17" spans="1:6">
      <c r="A17" s="53" t="s">
        <v>21</v>
      </c>
      <c r="B17" s="55">
        <f>IF(ISBLANK(Analysis!B19),0,VLOOKUP(Analysis!J19,Determination,2,0)*VLOOKUP(Analysis!G19,Credibility,2,0)*VLOOKUP(Analysis!H19,Reliability,2,0)*VLOOKUP(Analysis!I19,Relavancy,2,0))</f>
        <v>0</v>
      </c>
      <c r="C17" s="55">
        <f>IF(ISBLANK(Analysis!B19),0,VLOOKUP(Analysis!K19,Determination,2,0)*VLOOKUP(Analysis!G19,Credibility,2,0)*VLOOKUP(Analysis!H19,Reliability,2,0)*VLOOKUP(Analysis!I19,Relavancy,2,0))</f>
        <v>0</v>
      </c>
      <c r="D17" s="55">
        <f>IF(ISBLANK(Analysis!B19),0,VLOOKUP(Analysis!L19,Determination,2,0)*VLOOKUP(Analysis!G19,Credibility,2,0)*VLOOKUP(Analysis!H19,Reliability,2,0)*VLOOKUP(Analysis!I19,Relavancy,2,0))</f>
        <v>0</v>
      </c>
      <c r="E17" s="55">
        <f>IF(ISBLANK(Analysis!B19),0,VLOOKUP(Analysis!M19,Determination,2,0)*VLOOKUP(Analysis!G19,Credibility,2,0)*VLOOKUP(Analysis!H19,Reliability,2,0)*VLOOKUP(Analysis!I19,Relavancy,2,0))</f>
        <v>0</v>
      </c>
      <c r="F17" s="55">
        <f>IF(ISBLANK(Analysis!B19),0,VLOOKUP(Analysis!N19,Determination,2,0)*VLOOKUP(Analysis!G19,Credibility,2,0)*VLOOKUP(Analysis!H19,Reliability,2,0)*VLOOKUP(Analysis!I19,Relavancy,2,0))</f>
        <v>0</v>
      </c>
    </row>
    <row r="18" spans="1:6">
      <c r="A18" s="53" t="s">
        <v>39</v>
      </c>
      <c r="B18" s="55">
        <f>IF(ISBLANK(Analysis!B20),0,VLOOKUP(Analysis!J20,Determination,2,0)*VLOOKUP(Analysis!G20,Credibility,2,0)*VLOOKUP(Analysis!H20,Reliability,2,0)*VLOOKUP(Analysis!I20,Relavancy,2,0))</f>
        <v>0</v>
      </c>
      <c r="C18" s="55">
        <f>IF(ISBLANK(Analysis!B20),0,VLOOKUP(Analysis!K20,Determination,2,0)*VLOOKUP(Analysis!G20,Credibility,2,0)*VLOOKUP(Analysis!H20,Reliability,2,0)*VLOOKUP(Analysis!I20,Relavancy,2,0))</f>
        <v>0</v>
      </c>
      <c r="D18" s="55">
        <f>IF(ISBLANK(Analysis!B20),0,VLOOKUP(Analysis!L20,Determination,2,0)*VLOOKUP(Analysis!G20,Credibility,2,0)*VLOOKUP(Analysis!H20,Reliability,2,0)*VLOOKUP(Analysis!I20,Relavancy,2,0))</f>
        <v>0</v>
      </c>
      <c r="E18" s="55">
        <f>IF(ISBLANK(Analysis!B20),0,VLOOKUP(Analysis!M20,Determination,2,0)*VLOOKUP(Analysis!G20,Credibility,2,0)*VLOOKUP(Analysis!H20,Reliability,2,0)*VLOOKUP(Analysis!I20,Relavancy,2,0))</f>
        <v>0</v>
      </c>
      <c r="F18" s="55">
        <f>IF(ISBLANK(Analysis!B20),0,VLOOKUP(Analysis!N20,Determination,2,0)*VLOOKUP(Analysis!G20,Credibility,2,0)*VLOOKUP(Analysis!H20,Reliability,2,0)*VLOOKUP(Analysis!I20,Relavancy,2,0))</f>
        <v>0</v>
      </c>
    </row>
    <row r="19" spans="1:6">
      <c r="A19" s="53" t="s">
        <v>40</v>
      </c>
      <c r="B19" s="55">
        <f>IF(ISBLANK(Analysis!B21),0,VLOOKUP(Analysis!J21,Determination,2,0)*VLOOKUP(Analysis!G21,Credibility,2,0)*VLOOKUP(Analysis!H21,Reliability,2,0)*VLOOKUP(Analysis!I21,Relavancy,2,0))</f>
        <v>0</v>
      </c>
      <c r="C19" s="55">
        <f>IF(ISBLANK(Analysis!B21),0,VLOOKUP(Analysis!K21,Determination,2,0)*VLOOKUP(Analysis!G21,Credibility,2,0)*VLOOKUP(Analysis!H21,Reliability,2,0)*VLOOKUP(Analysis!I21,Relavancy,2,0))</f>
        <v>0</v>
      </c>
      <c r="D19" s="55">
        <f>IF(ISBLANK(Analysis!B21),0,VLOOKUP(Analysis!L21,Determination,2,0)*VLOOKUP(Analysis!G21,Credibility,2,0)*VLOOKUP(Analysis!H21,Reliability,2,0)*VLOOKUP(Analysis!I21,Relavancy,2,0))</f>
        <v>0</v>
      </c>
      <c r="E19" s="55">
        <f>IF(ISBLANK(Analysis!B21),0,VLOOKUP(Analysis!M21,Determination,2,0)*VLOOKUP(Analysis!G21,Credibility,2,0)*VLOOKUP(Analysis!H21,Reliability,2,0)*VLOOKUP(Analysis!I21,Relavancy,2,0))</f>
        <v>0</v>
      </c>
      <c r="F19" s="55">
        <f>IF(ISBLANK(Analysis!B21),0,VLOOKUP(Analysis!N21,Determination,2,0)*VLOOKUP(Analysis!G21,Credibility,2,0)*VLOOKUP(Analysis!H21,Reliability,2,0)*VLOOKUP(Analysis!I21,Relavancy,2,0))</f>
        <v>0</v>
      </c>
    </row>
    <row r="20" spans="1:6">
      <c r="A20" s="53" t="s">
        <v>41</v>
      </c>
      <c r="B20" s="55">
        <f>IF(ISBLANK(Analysis!B22),0,VLOOKUP(Analysis!J22,Determination,2,0)*VLOOKUP(Analysis!G22,Credibility,2,0)*VLOOKUP(Analysis!H22,Reliability,2,0)*VLOOKUP(Analysis!I22,Relavancy,2,0))</f>
        <v>0</v>
      </c>
      <c r="C20" s="55">
        <f>IF(ISBLANK(Analysis!B22),0,VLOOKUP(Analysis!K22,Determination,2,0)*VLOOKUP(Analysis!G22,Credibility,2,0)*VLOOKUP(Analysis!H22,Reliability,2,0)*VLOOKUP(Analysis!I22,Relavancy,2,0))</f>
        <v>0</v>
      </c>
      <c r="D20" s="55">
        <f>IF(ISBLANK(Analysis!B22),0,VLOOKUP(Analysis!L22,Determination,2,0)*VLOOKUP(Analysis!G22,Credibility,2,0)*VLOOKUP(Analysis!H22,Reliability,2,0)*VLOOKUP(Analysis!I22,Relavancy,2,0))</f>
        <v>0</v>
      </c>
      <c r="E20" s="55">
        <f>IF(ISBLANK(Analysis!B22),0,VLOOKUP(Analysis!M22,Determination,2,0)*VLOOKUP(Analysis!G22,Credibility,2,0)*VLOOKUP(Analysis!H22,Reliability,2,0)*VLOOKUP(Analysis!I22,Relavancy,2,0))</f>
        <v>0</v>
      </c>
      <c r="F20" s="55">
        <f>IF(ISBLANK(Analysis!B22),0,VLOOKUP(Analysis!N22,Determination,2,0)*VLOOKUP(Analysis!G22,Credibility,2,0)*VLOOKUP(Analysis!H22,Reliability,2,0)*VLOOKUP(Analysis!I22,Relavancy,2,0))</f>
        <v>0</v>
      </c>
    </row>
    <row r="21" spans="1:6">
      <c r="A21" s="53" t="s">
        <v>42</v>
      </c>
      <c r="B21" s="55">
        <f>IF(ISBLANK(Analysis!B23),0,VLOOKUP(Analysis!J23,Determination,2,0)*VLOOKUP(Analysis!G23,Credibility,2,0)*VLOOKUP(Analysis!H23,Reliability,2,0)*VLOOKUP(Analysis!I23,Relavancy,2,0))</f>
        <v>0</v>
      </c>
      <c r="C21" s="55">
        <f>IF(ISBLANK(Analysis!B23),0,VLOOKUP(Analysis!K23,Determination,2,0)*VLOOKUP(Analysis!G23,Credibility,2,0)*VLOOKUP(Analysis!H23,Reliability,2,0)*VLOOKUP(Analysis!I23,Relavancy,2,0))</f>
        <v>0</v>
      </c>
      <c r="D21" s="55">
        <f>IF(ISBLANK(Analysis!B23),0,VLOOKUP(Analysis!L23,Determination,2,0)*VLOOKUP(Analysis!G23,Credibility,2,0)*VLOOKUP(Analysis!H23,Reliability,2,0)*VLOOKUP(Analysis!I23,Relavancy,2,0))</f>
        <v>0</v>
      </c>
      <c r="E21" s="55">
        <f>IF(ISBLANK(Analysis!B23),0,VLOOKUP(Analysis!M23,Determination,2,0)*VLOOKUP(Analysis!G23,Credibility,2,0)*VLOOKUP(Analysis!H23,Reliability,2,0)*VLOOKUP(Analysis!I23,Relavancy,2,0))</f>
        <v>0</v>
      </c>
      <c r="F21" s="55">
        <f>IF(ISBLANK(Analysis!B23),0,VLOOKUP(Analysis!N23,Determination,2,0)*VLOOKUP(Analysis!G23,Credibility,2,0)*VLOOKUP(Analysis!H23,Reliability,2,0)*VLOOKUP(Analysis!I23,Relavancy,2,0))</f>
        <v>0</v>
      </c>
    </row>
    <row r="22" spans="1:6">
      <c r="A22" s="53" t="s">
        <v>43</v>
      </c>
      <c r="B22" s="55">
        <f>IF(ISBLANK(Analysis!B24),0,VLOOKUP(Analysis!J24,Determination,2,0)*VLOOKUP(Analysis!G24,Credibility,2,0)*VLOOKUP(Analysis!H24,Reliability,2,0)*VLOOKUP(Analysis!I24,Relavancy,2,0))</f>
        <v>0</v>
      </c>
      <c r="C22" s="55">
        <f>IF(ISBLANK(Analysis!B24),0,VLOOKUP(Analysis!K24,Determination,2,0)*VLOOKUP(Analysis!G24,Credibility,2,0)*VLOOKUP(Analysis!H24,Reliability,2,0)*VLOOKUP(Analysis!I24,Relavancy,2,0))</f>
        <v>0</v>
      </c>
      <c r="D22" s="55">
        <f>IF(ISBLANK(Analysis!B24),0,VLOOKUP(Analysis!L24,Determination,2,0)*VLOOKUP(Analysis!G24,Credibility,2,0)*VLOOKUP(Analysis!H24,Reliability,2,0)*VLOOKUP(Analysis!I24,Relavancy,2,0))</f>
        <v>0</v>
      </c>
      <c r="E22" s="55">
        <f>IF(ISBLANK(Analysis!B24),0,VLOOKUP(Analysis!M24,Determination,2,0)*VLOOKUP(Analysis!G24,Credibility,2,0)*VLOOKUP(Analysis!H24,Reliability,2,0)*VLOOKUP(Analysis!I24,Relavancy,2,0))</f>
        <v>0</v>
      </c>
      <c r="F22" s="55">
        <f>IF(ISBLANK(Analysis!B24),0,VLOOKUP(Analysis!N24,Determination,2,0)*VLOOKUP(Analysis!G24,Credibility,2,0)*VLOOKUP(Analysis!H24,Reliability,2,0)*VLOOKUP(Analysis!I24,Relavancy,2,0))</f>
        <v>0</v>
      </c>
    </row>
    <row r="23" spans="1:6">
      <c r="A23" s="53" t="s">
        <v>44</v>
      </c>
      <c r="B23" s="55">
        <f>IF(ISBLANK(Analysis!B25),0,VLOOKUP(Analysis!J25,Determination,2,0)*VLOOKUP(Analysis!G25,Credibility,2,0)*VLOOKUP(Analysis!H25,Reliability,2,0)*VLOOKUP(Analysis!I25,Relavancy,2,0))</f>
        <v>0</v>
      </c>
      <c r="C23" s="55">
        <f>IF(ISBLANK(Analysis!B25),0,VLOOKUP(Analysis!K25,Determination,2,0)*VLOOKUP(Analysis!G25,Credibility,2,0)*VLOOKUP(Analysis!H25,Reliability,2,0)*VLOOKUP(Analysis!I25,Relavancy,2,0))</f>
        <v>0</v>
      </c>
      <c r="D23" s="55">
        <f>IF(ISBLANK(Analysis!B25),0,VLOOKUP(Analysis!L25,Determination,2,0)*VLOOKUP(Analysis!G25,Credibility,2,0)*VLOOKUP(Analysis!H25,Reliability,2,0)*VLOOKUP(Analysis!I25,Relavancy,2,0))</f>
        <v>0</v>
      </c>
      <c r="E23" s="55">
        <f>IF(ISBLANK(Analysis!B25),0,VLOOKUP(Analysis!M25,Determination,2,0)*VLOOKUP(Analysis!G25,Credibility,2,0)*VLOOKUP(Analysis!H25,Reliability,2,0)*VLOOKUP(Analysis!I25,Relavancy,2,0))</f>
        <v>0</v>
      </c>
      <c r="F23" s="55">
        <f>IF(ISBLANK(Analysis!B25),0,VLOOKUP(Analysis!N25,Determination,2,0)*VLOOKUP(Analysis!G25,Credibility,2,0)*VLOOKUP(Analysis!H25,Reliability,2,0)*VLOOKUP(Analysis!I25,Relavancy,2,0))</f>
        <v>0</v>
      </c>
    </row>
    <row r="24" spans="1:6">
      <c r="A24" s="53" t="s">
        <v>45</v>
      </c>
      <c r="B24" s="55">
        <f>IF(ISBLANK(Analysis!B26),0,VLOOKUP(Analysis!J26,Determination,2,0)*VLOOKUP(Analysis!G26,Credibility,2,0)*VLOOKUP(Analysis!H26,Reliability,2,0)*VLOOKUP(Analysis!I26,Relavancy,2,0))</f>
        <v>0</v>
      </c>
      <c r="C24" s="55">
        <f>IF(ISBLANK(Analysis!B26),0,VLOOKUP(Analysis!K26,Determination,2,0)*VLOOKUP(Analysis!G26,Credibility,2,0)*VLOOKUP(Analysis!H26,Reliability,2,0)*VLOOKUP(Analysis!I26,Relavancy,2,0))</f>
        <v>0</v>
      </c>
      <c r="D24" s="55">
        <f>IF(ISBLANK(Analysis!B26),0,VLOOKUP(Analysis!L26,Determination,2,0)*VLOOKUP(Analysis!G26,Credibility,2,0)*VLOOKUP(Analysis!H26,Reliability,2,0)*VLOOKUP(Analysis!I26,Relavancy,2,0))</f>
        <v>0</v>
      </c>
      <c r="E24" s="55">
        <f>IF(ISBLANK(Analysis!B26),0,VLOOKUP(Analysis!M26,Determination,2,0)*VLOOKUP(Analysis!G26,Credibility,2,0)*VLOOKUP(Analysis!H26,Reliability,2,0)*VLOOKUP(Analysis!I26,Relavancy,2,0))</f>
        <v>0</v>
      </c>
      <c r="F24" s="55">
        <f>IF(ISBLANK(Analysis!B26),0,VLOOKUP(Analysis!N26,Determination,2,0)*VLOOKUP(Analysis!G26,Credibility,2,0)*VLOOKUP(Analysis!H26,Reliability,2,0)*VLOOKUP(Analysis!I26,Relavancy,2,0))</f>
        <v>0</v>
      </c>
    </row>
    <row r="25" spans="1:6">
      <c r="A25" s="53" t="s">
        <v>46</v>
      </c>
      <c r="B25" s="55">
        <f>IF(ISBLANK(Analysis!B27),0,VLOOKUP(Analysis!J27,Determination,2,0)*VLOOKUP(Analysis!G27,Credibility,2,0)*VLOOKUP(Analysis!H27,Reliability,2,0)*VLOOKUP(Analysis!I27,Relavancy,2,0))</f>
        <v>0</v>
      </c>
      <c r="C25" s="55">
        <f>IF(ISBLANK(Analysis!B27),0,VLOOKUP(Analysis!K27,Determination,2,0)*VLOOKUP(Analysis!G27,Credibility,2,0)*VLOOKUP(Analysis!H27,Reliability,2,0)*VLOOKUP(Analysis!I27,Relavancy,2,0))</f>
        <v>0</v>
      </c>
      <c r="D25" s="55">
        <f>IF(ISBLANK(Analysis!B27),0,VLOOKUP(Analysis!L27,Determination,2,0)*VLOOKUP(Analysis!G27,Credibility,2,0)*VLOOKUP(Analysis!H27,Reliability,2,0)*VLOOKUP(Analysis!I27,Relavancy,2,0))</f>
        <v>0</v>
      </c>
      <c r="E25" s="55">
        <f>IF(ISBLANK(Analysis!B27),0,VLOOKUP(Analysis!M27,Determination,2,0)*VLOOKUP(Analysis!G27,Credibility,2,0)*VLOOKUP(Analysis!H27,Reliability,2,0)*VLOOKUP(Analysis!I27,Relavancy,2,0))</f>
        <v>0</v>
      </c>
      <c r="F25" s="55">
        <f>IF(ISBLANK(Analysis!B27),0,VLOOKUP(Analysis!N27,Determination,2,0)*VLOOKUP(Analysis!G27,Credibility,2,0)*VLOOKUP(Analysis!H27,Reliability,2,0)*VLOOKUP(Analysis!I27,Relavancy,2,0))</f>
        <v>0</v>
      </c>
    </row>
    <row r="26" spans="1:6">
      <c r="A26" s="53" t="s">
        <v>47</v>
      </c>
      <c r="B26" s="55">
        <f>IF(ISBLANK(Analysis!B28),0,VLOOKUP(Analysis!J28,Determination,2,0)*VLOOKUP(Analysis!G28,Credibility,2,0)*VLOOKUP(Analysis!H28,Reliability,2,0)*VLOOKUP(Analysis!I28,Relavancy,2,0))</f>
        <v>0</v>
      </c>
      <c r="C26" s="55">
        <f>IF(ISBLANK(Analysis!B28),0,VLOOKUP(Analysis!K28,Determination,2,0)*VLOOKUP(Analysis!G28,Credibility,2,0)*VLOOKUP(Analysis!H28,Reliability,2,0)*VLOOKUP(Analysis!I28,Relavancy,2,0))</f>
        <v>0</v>
      </c>
      <c r="D26" s="55">
        <f>IF(ISBLANK(Analysis!B28),0,VLOOKUP(Analysis!L28,Determination,2,0)*VLOOKUP(Analysis!G28,Credibility,2,0)*VLOOKUP(Analysis!H28,Reliability,2,0)*VLOOKUP(Analysis!I28,Relavancy,2,0))</f>
        <v>0</v>
      </c>
      <c r="E26" s="55">
        <f>IF(ISBLANK(Analysis!B28),0,VLOOKUP(Analysis!M28,Determination,2,0)*VLOOKUP(Analysis!G28,Credibility,2,0)*VLOOKUP(Analysis!H28,Reliability,2,0)*VLOOKUP(Analysis!I28,Relavancy,2,0))</f>
        <v>0</v>
      </c>
      <c r="F26" s="55">
        <f>IF(ISBLANK(Analysis!B28),0,VLOOKUP(Analysis!N28,Determination,2,0)*VLOOKUP(Analysis!G28,Credibility,2,0)*VLOOKUP(Analysis!H28,Reliability,2,0)*VLOOKUP(Analysis!I28,Relavancy,2,0))</f>
        <v>0</v>
      </c>
    </row>
    <row r="27" spans="1:6">
      <c r="A27" s="53" t="s">
        <v>48</v>
      </c>
      <c r="B27" s="55">
        <f>IF(ISBLANK(Analysis!B29),0,VLOOKUP(Analysis!J29,Determination,2,0)*VLOOKUP(Analysis!G29,Credibility,2,0)*VLOOKUP(Analysis!H29,Reliability,2,0)*VLOOKUP(Analysis!I29,Relavancy,2,0))</f>
        <v>0</v>
      </c>
      <c r="C27" s="55">
        <f>IF(ISBLANK(Analysis!B29),0,VLOOKUP(Analysis!K29,Determination,2,0)*VLOOKUP(Analysis!G29,Credibility,2,0)*VLOOKUP(Analysis!H29,Reliability,2,0)*VLOOKUP(Analysis!I29,Relavancy,2,0))</f>
        <v>0</v>
      </c>
      <c r="D27" s="55">
        <f>IF(ISBLANK(Analysis!B29),0,VLOOKUP(Analysis!L29,Determination,2,0)*VLOOKUP(Analysis!G29,Credibility,2,0)*VLOOKUP(Analysis!H29,Reliability,2,0)*VLOOKUP(Analysis!I29,Relavancy,2,0))</f>
        <v>0</v>
      </c>
      <c r="E27" s="55">
        <f>IF(ISBLANK(Analysis!B29),0,VLOOKUP(Analysis!M29,Determination,2,0)*VLOOKUP(Analysis!G29,Credibility,2,0)*VLOOKUP(Analysis!H29,Reliability,2,0)*VLOOKUP(Analysis!I29,Relavancy,2,0))</f>
        <v>0</v>
      </c>
      <c r="F27" s="55">
        <f>IF(ISBLANK(Analysis!B29),0,VLOOKUP(Analysis!N29,Determination,2,0)*VLOOKUP(Analysis!G29,Credibility,2,0)*VLOOKUP(Analysis!H29,Reliability,2,0)*VLOOKUP(Analysis!I29,Relavancy,2,0))</f>
        <v>0</v>
      </c>
    </row>
    <row r="28" spans="1:6">
      <c r="A28" s="53" t="s">
        <v>49</v>
      </c>
      <c r="B28" s="55">
        <f>IF(ISBLANK(Analysis!B30),0,VLOOKUP(Analysis!J30,Determination,2,0)*VLOOKUP(Analysis!G30,Credibility,2,0)*VLOOKUP(Analysis!H30,Reliability,2,0)*VLOOKUP(Analysis!I30,Relavancy,2,0))</f>
        <v>0</v>
      </c>
      <c r="C28" s="55">
        <f>IF(ISBLANK(Analysis!B30),0,VLOOKUP(Analysis!K30,Determination,2,0)*VLOOKUP(Analysis!G30,Credibility,2,0)*VLOOKUP(Analysis!H30,Reliability,2,0)*VLOOKUP(Analysis!I30,Relavancy,2,0))</f>
        <v>0</v>
      </c>
      <c r="D28" s="55">
        <f>IF(ISBLANK(Analysis!B30),0,VLOOKUP(Analysis!L30,Determination,2,0)*VLOOKUP(Analysis!G30,Credibility,2,0)*VLOOKUP(Analysis!H30,Reliability,2,0)*VLOOKUP(Analysis!I30,Relavancy,2,0))</f>
        <v>0</v>
      </c>
      <c r="E28" s="55">
        <f>IF(ISBLANK(Analysis!B30),0,VLOOKUP(Analysis!M30,Determination,2,0)*VLOOKUP(Analysis!G30,Credibility,2,0)*VLOOKUP(Analysis!H30,Reliability,2,0)*VLOOKUP(Analysis!I30,Relavancy,2,0))</f>
        <v>0</v>
      </c>
      <c r="F28" s="55">
        <f>IF(ISBLANK(Analysis!B30),0,VLOOKUP(Analysis!N30,Determination,2,0)*VLOOKUP(Analysis!G30,Credibility,2,0)*VLOOKUP(Analysis!H30,Reliability,2,0)*VLOOKUP(Analysis!I30,Relavancy,2,0))</f>
        <v>0</v>
      </c>
    </row>
    <row r="29" spans="1:6">
      <c r="A29" s="53" t="s">
        <v>50</v>
      </c>
      <c r="B29" s="55">
        <f>IF(ISBLANK(Analysis!B31),0,VLOOKUP(Analysis!J31,Determination,2,0)*VLOOKUP(Analysis!G31,Credibility,2,0)*VLOOKUP(Analysis!H31,Reliability,2,0)*VLOOKUP(Analysis!I31,Relavancy,2,0))</f>
        <v>0</v>
      </c>
      <c r="C29" s="55">
        <f>IF(ISBLANK(Analysis!B31),0,VLOOKUP(Analysis!K31,Determination,2,0)*VLOOKUP(Analysis!G31,Credibility,2,0)*VLOOKUP(Analysis!H31,Reliability,2,0)*VLOOKUP(Analysis!I31,Relavancy,2,0))</f>
        <v>0</v>
      </c>
      <c r="D29" s="55">
        <f>IF(ISBLANK(Analysis!B31),0,VLOOKUP(Analysis!L31,Determination,2,0)*VLOOKUP(Analysis!G31,Credibility,2,0)*VLOOKUP(Analysis!H31,Reliability,2,0)*VLOOKUP(Analysis!I31,Relavancy,2,0))</f>
        <v>0</v>
      </c>
      <c r="E29" s="55">
        <f>IF(ISBLANK(Analysis!B31),0,VLOOKUP(Analysis!M31,Determination,2,0)*VLOOKUP(Analysis!G31,Credibility,2,0)*VLOOKUP(Analysis!H31,Reliability,2,0)*VLOOKUP(Analysis!I31,Relavancy,2,0))</f>
        <v>0</v>
      </c>
      <c r="F29" s="55">
        <f>IF(ISBLANK(Analysis!B31),0,VLOOKUP(Analysis!N31,Determination,2,0)*VLOOKUP(Analysis!G31,Credibility,2,0)*VLOOKUP(Analysis!H31,Reliability,2,0)*VLOOKUP(Analysis!I31,Relavancy,2,0))</f>
        <v>0</v>
      </c>
    </row>
    <row r="30" spans="1:6">
      <c r="A30" s="53" t="s">
        <v>51</v>
      </c>
      <c r="B30" s="55">
        <f>IF(ISBLANK(Analysis!B32),0,VLOOKUP(Analysis!J32,Determination,2,0)*VLOOKUP(Analysis!G32,Credibility,2,0)*VLOOKUP(Analysis!H32,Reliability,2,0)*VLOOKUP(Analysis!I32,Relavancy,2,0))</f>
        <v>0</v>
      </c>
      <c r="C30" s="55">
        <f>IF(ISBLANK(Analysis!B32),0,VLOOKUP(Analysis!K32,Determination,2,0)*VLOOKUP(Analysis!G32,Credibility,2,0)*VLOOKUP(Analysis!H32,Reliability,2,0)*VLOOKUP(Analysis!I32,Relavancy,2,0))</f>
        <v>0</v>
      </c>
      <c r="D30" s="55">
        <f>IF(ISBLANK(Analysis!B32),0,VLOOKUP(Analysis!L32,Determination,2,0)*VLOOKUP(Analysis!G32,Credibility,2,0)*VLOOKUP(Analysis!H32,Reliability,2,0)*VLOOKUP(Analysis!I32,Relavancy,2,0))</f>
        <v>0</v>
      </c>
      <c r="E30" s="55">
        <f>IF(ISBLANK(Analysis!B32),0,VLOOKUP(Analysis!M32,Determination,2,0)*VLOOKUP(Analysis!G32,Credibility,2,0)*VLOOKUP(Analysis!H32,Reliability,2,0)*VLOOKUP(Analysis!I32,Relavancy,2,0))</f>
        <v>0</v>
      </c>
      <c r="F30" s="55">
        <f>IF(ISBLANK(Analysis!B32),0,VLOOKUP(Analysis!N32,Determination,2,0)*VLOOKUP(Analysis!G32,Credibility,2,0)*VLOOKUP(Analysis!H32,Reliability,2,0)*VLOOKUP(Analysis!I32,Relavancy,2,0))</f>
        <v>0</v>
      </c>
    </row>
    <row r="31" spans="1:6">
      <c r="A31" s="53" t="s">
        <v>52</v>
      </c>
      <c r="B31" s="55">
        <f>IF(ISBLANK(Analysis!B33),0,VLOOKUP(Analysis!J33,Determination,2,0)*VLOOKUP(Analysis!G33,Credibility,2,0)*VLOOKUP(Analysis!H33,Reliability,2,0)*VLOOKUP(Analysis!I33,Relavancy,2,0))</f>
        <v>0</v>
      </c>
      <c r="C31" s="55">
        <f>IF(ISBLANK(Analysis!B33),0,VLOOKUP(Analysis!K33,Determination,2,0)*VLOOKUP(Analysis!G33,Credibility,2,0)*VLOOKUP(Analysis!H33,Reliability,2,0)*VLOOKUP(Analysis!I33,Relavancy,2,0))</f>
        <v>0</v>
      </c>
      <c r="D31" s="55">
        <f>IF(ISBLANK(Analysis!B33),0,VLOOKUP(Analysis!L33,Determination,2,0)*VLOOKUP(Analysis!G33,Credibility,2,0)*VLOOKUP(Analysis!H33,Reliability,2,0)*VLOOKUP(Analysis!I33,Relavancy,2,0))</f>
        <v>0</v>
      </c>
      <c r="E31" s="55">
        <f>IF(ISBLANK(Analysis!B33),0,VLOOKUP(Analysis!M33,Determination,2,0)*VLOOKUP(Analysis!G33,Credibility,2,0)*VLOOKUP(Analysis!H33,Reliability,2,0)*VLOOKUP(Analysis!I33,Relavancy,2,0))</f>
        <v>0</v>
      </c>
      <c r="F31" s="55">
        <f>IF(ISBLANK(Analysis!B33),0,VLOOKUP(Analysis!N33,Determination,2,0)*VLOOKUP(Analysis!G33,Credibility,2,0)*VLOOKUP(Analysis!H33,Reliability,2,0)*VLOOKUP(Analysis!I33,Relavancy,2,0))</f>
        <v>0</v>
      </c>
    </row>
    <row r="32" spans="1:6">
      <c r="A32" s="53" t="s">
        <v>53</v>
      </c>
      <c r="B32" s="55">
        <f>IF(ISBLANK(Analysis!B34),0,VLOOKUP(Analysis!J34,Determination,2,0)*VLOOKUP(Analysis!G34,Credibility,2,0)*VLOOKUP(Analysis!H34,Reliability,2,0)*VLOOKUP(Analysis!I34,Relavancy,2,0))</f>
        <v>0</v>
      </c>
      <c r="C32" s="55">
        <f>IF(ISBLANK(Analysis!B34),0,VLOOKUP(Analysis!K34,Determination,2,0)*VLOOKUP(Analysis!G34,Credibility,2,0)*VLOOKUP(Analysis!H34,Reliability,2,0)*VLOOKUP(Analysis!I34,Relavancy,2,0))</f>
        <v>0</v>
      </c>
      <c r="D32" s="55">
        <f>IF(ISBLANK(Analysis!B34),0,VLOOKUP(Analysis!L34,Determination,2,0)*VLOOKUP(Analysis!G34,Credibility,2,0)*VLOOKUP(Analysis!H34,Reliability,2,0)*VLOOKUP(Analysis!I34,Relavancy,2,0))</f>
        <v>0</v>
      </c>
      <c r="E32" s="55">
        <f>IF(ISBLANK(Analysis!B34),0,VLOOKUP(Analysis!M34,Determination,2,0)*VLOOKUP(Analysis!G34,Credibility,2,0)*VLOOKUP(Analysis!H34,Reliability,2,0)*VLOOKUP(Analysis!I34,Relavancy,2,0))</f>
        <v>0</v>
      </c>
      <c r="F32" s="55">
        <f>IF(ISBLANK(Analysis!B34),0,VLOOKUP(Analysis!N34,Determination,2,0)*VLOOKUP(Analysis!G34,Credibility,2,0)*VLOOKUP(Analysis!H34,Reliability,2,0)*VLOOKUP(Analysis!I34,Relavancy,2,0))</f>
        <v>0</v>
      </c>
    </row>
    <row r="33" spans="1:6">
      <c r="A33" s="53" t="s">
        <v>54</v>
      </c>
      <c r="B33" s="55">
        <f>IF(ISBLANK(Analysis!B35),0,VLOOKUP(Analysis!J35,Determination,2,0)*VLOOKUP(Analysis!G35,Credibility,2,0)*VLOOKUP(Analysis!H35,Reliability,2,0)*VLOOKUP(Analysis!I35,Relavancy,2,0))</f>
        <v>0</v>
      </c>
      <c r="C33" s="55">
        <f>IF(ISBLANK(Analysis!B35),0,VLOOKUP(Analysis!K35,Determination,2,0)*VLOOKUP(Analysis!G35,Credibility,2,0)*VLOOKUP(Analysis!H35,Reliability,2,0)*VLOOKUP(Analysis!I35,Relavancy,2,0))</f>
        <v>0</v>
      </c>
      <c r="D33" s="55">
        <f>IF(ISBLANK(Analysis!B35),0,VLOOKUP(Analysis!L35,Determination,2,0)*VLOOKUP(Analysis!G35,Credibility,2,0)*VLOOKUP(Analysis!H35,Reliability,2,0)*VLOOKUP(Analysis!I35,Relavancy,2,0))</f>
        <v>0</v>
      </c>
      <c r="E33" s="55">
        <f>IF(ISBLANK(Analysis!B35),0,VLOOKUP(Analysis!M35,Determination,2,0)*VLOOKUP(Analysis!G35,Credibility,2,0)*VLOOKUP(Analysis!H35,Reliability,2,0)*VLOOKUP(Analysis!I35,Relavancy,2,0))</f>
        <v>0</v>
      </c>
      <c r="F33" s="55">
        <f>IF(ISBLANK(Analysis!B35),0,VLOOKUP(Analysis!N35,Determination,2,0)*VLOOKUP(Analysis!G35,Credibility,2,0)*VLOOKUP(Analysis!H35,Reliability,2,0)*VLOOKUP(Analysis!I35,Relavancy,2,0))</f>
        <v>0</v>
      </c>
    </row>
    <row r="34" spans="1:6">
      <c r="A34" s="53" t="s">
        <v>55</v>
      </c>
      <c r="B34" s="55">
        <f>IF(ISBLANK(Analysis!B36),0,VLOOKUP(Analysis!J36,Determination,2,0)*VLOOKUP(Analysis!G36,Credibility,2,0)*VLOOKUP(Analysis!H36,Reliability,2,0)*VLOOKUP(Analysis!I36,Relavancy,2,0))</f>
        <v>0</v>
      </c>
      <c r="C34" s="55">
        <f>IF(ISBLANK(Analysis!B36),0,VLOOKUP(Analysis!K36,Determination,2,0)*VLOOKUP(Analysis!G36,Credibility,2,0)*VLOOKUP(Analysis!H36,Reliability,2,0)*VLOOKUP(Analysis!I36,Relavancy,2,0))</f>
        <v>0</v>
      </c>
      <c r="D34" s="55">
        <f>IF(ISBLANK(Analysis!B36),0,VLOOKUP(Analysis!L36,Determination,2,0)*VLOOKUP(Analysis!G36,Credibility,2,0)*VLOOKUP(Analysis!H36,Reliability,2,0)*VLOOKUP(Analysis!I36,Relavancy,2,0))</f>
        <v>0</v>
      </c>
      <c r="E34" s="55">
        <f>IF(ISBLANK(Analysis!B36),0,VLOOKUP(Analysis!M36,Determination,2,0)*VLOOKUP(Analysis!G36,Credibility,2,0)*VLOOKUP(Analysis!H36,Reliability,2,0)*VLOOKUP(Analysis!I36,Relavancy,2,0))</f>
        <v>0</v>
      </c>
      <c r="F34" s="55">
        <f>IF(ISBLANK(Analysis!B36),0,VLOOKUP(Analysis!N36,Determination,2,0)*VLOOKUP(Analysis!G36,Credibility,2,0)*VLOOKUP(Analysis!H36,Reliability,2,0)*VLOOKUP(Analysis!I36,Relavancy,2,0))</f>
        <v>0</v>
      </c>
    </row>
    <row r="35" spans="1:6">
      <c r="A35" s="53" t="s">
        <v>56</v>
      </c>
      <c r="B35" s="55">
        <f>IF(ISBLANK(Analysis!B37),0,VLOOKUP(Analysis!J37,Determination,2,0)*VLOOKUP(Analysis!G37,Credibility,2,0)*VLOOKUP(Analysis!H37,Reliability,2,0)*VLOOKUP(Analysis!I37,Relavancy,2,0))</f>
        <v>0</v>
      </c>
      <c r="C35" s="55">
        <f>IF(ISBLANK(Analysis!B37),0,VLOOKUP(Analysis!K37,Determination,2,0)*VLOOKUP(Analysis!G37,Credibility,2,0)*VLOOKUP(Analysis!H37,Reliability,2,0)*VLOOKUP(Analysis!I37,Relavancy,2,0))</f>
        <v>0</v>
      </c>
      <c r="D35" s="55">
        <f>IF(ISBLANK(Analysis!B37),0,VLOOKUP(Analysis!L37,Determination,2,0)*VLOOKUP(Analysis!G37,Credibility,2,0)*VLOOKUP(Analysis!H37,Reliability,2,0)*VLOOKUP(Analysis!I37,Relavancy,2,0))</f>
        <v>0</v>
      </c>
      <c r="E35" s="55">
        <f>IF(ISBLANK(Analysis!B37),0,VLOOKUP(Analysis!M37,Determination,2,0)*VLOOKUP(Analysis!G37,Credibility,2,0)*VLOOKUP(Analysis!H37,Reliability,2,0)*VLOOKUP(Analysis!I37,Relavancy,2,0))</f>
        <v>0</v>
      </c>
      <c r="F35" s="55">
        <f>IF(ISBLANK(Analysis!B37),0,VLOOKUP(Analysis!N37,Determination,2,0)*VLOOKUP(Analysis!G37,Credibility,2,0)*VLOOKUP(Analysis!H37,Reliability,2,0)*VLOOKUP(Analysis!I37,Relavancy,2,0))</f>
        <v>0</v>
      </c>
    </row>
    <row r="36" spans="1:6">
      <c r="A36" s="53" t="s">
        <v>57</v>
      </c>
      <c r="B36" s="55">
        <f>IF(ISBLANK(Analysis!B38),0,VLOOKUP(Analysis!J38,Determination,2,0)*VLOOKUP(Analysis!G38,Credibility,2,0)*VLOOKUP(Analysis!H38,Reliability,2,0)*VLOOKUP(Analysis!I38,Relavancy,2,0))</f>
        <v>0</v>
      </c>
      <c r="C36" s="55">
        <f>IF(ISBLANK(Analysis!B38),0,VLOOKUP(Analysis!K38,Determination,2,0)*VLOOKUP(Analysis!G38,Credibility,2,0)*VLOOKUP(Analysis!H38,Reliability,2,0)*VLOOKUP(Analysis!I38,Relavancy,2,0))</f>
        <v>0</v>
      </c>
      <c r="D36" s="55">
        <f>IF(ISBLANK(Analysis!B38),0,VLOOKUP(Analysis!L38,Determination,2,0)*VLOOKUP(Analysis!G38,Credibility,2,0)*VLOOKUP(Analysis!H38,Reliability,2,0)*VLOOKUP(Analysis!I38,Relavancy,2,0))</f>
        <v>0</v>
      </c>
      <c r="E36" s="55">
        <f>IF(ISBLANK(Analysis!B38),0,VLOOKUP(Analysis!M38,Determination,2,0)*VLOOKUP(Analysis!G38,Credibility,2,0)*VLOOKUP(Analysis!H38,Reliability,2,0)*VLOOKUP(Analysis!I38,Relavancy,2,0))</f>
        <v>0</v>
      </c>
      <c r="F36" s="55">
        <f>IF(ISBLANK(Analysis!B38),0,VLOOKUP(Analysis!N38,Determination,2,0)*VLOOKUP(Analysis!G38,Credibility,2,0)*VLOOKUP(Analysis!H38,Reliability,2,0)*VLOOKUP(Analysis!I38,Relavancy,2,0))</f>
        <v>0</v>
      </c>
    </row>
    <row r="37" spans="1:6">
      <c r="A37" s="53" t="s">
        <v>58</v>
      </c>
      <c r="B37" s="55">
        <f>IF(ISBLANK(Analysis!B39),0,VLOOKUP(Analysis!J39,Determination,2,0)*VLOOKUP(Analysis!G39,Credibility,2,0)*VLOOKUP(Analysis!H39,Reliability,2,0)*VLOOKUP(Analysis!I39,Relavancy,2,0))</f>
        <v>0</v>
      </c>
      <c r="C37" s="55">
        <f>IF(ISBLANK(Analysis!B39),0,VLOOKUP(Analysis!K39,Determination,2,0)*VLOOKUP(Analysis!G39,Credibility,2,0)*VLOOKUP(Analysis!H39,Reliability,2,0)*VLOOKUP(Analysis!I39,Relavancy,2,0))</f>
        <v>0</v>
      </c>
      <c r="D37" s="55">
        <f>IF(ISBLANK(Analysis!B39),0,VLOOKUP(Analysis!L39,Determination,2,0)*VLOOKUP(Analysis!G39,Credibility,2,0)*VLOOKUP(Analysis!H39,Reliability,2,0)*VLOOKUP(Analysis!I39,Relavancy,2,0))</f>
        <v>0</v>
      </c>
      <c r="E37" s="55">
        <f>IF(ISBLANK(Analysis!B39),0,VLOOKUP(Analysis!M39,Determination,2,0)*VLOOKUP(Analysis!G39,Credibility,2,0)*VLOOKUP(Analysis!H39,Reliability,2,0)*VLOOKUP(Analysis!I39,Relavancy,2,0))</f>
        <v>0</v>
      </c>
      <c r="F37" s="55">
        <f>IF(ISBLANK(Analysis!B39),0,VLOOKUP(Analysis!N39,Determination,2,0)*VLOOKUP(Analysis!G39,Credibility,2,0)*VLOOKUP(Analysis!H39,Reliability,2,0)*VLOOKUP(Analysis!I39,Relavancy,2,0))</f>
        <v>0</v>
      </c>
    </row>
    <row r="38" spans="1:6">
      <c r="A38" s="53" t="s">
        <v>59</v>
      </c>
      <c r="B38" s="55">
        <f>IF(ISBLANK(Analysis!B40),0,VLOOKUP(Analysis!J40,Determination,2,0)*VLOOKUP(Analysis!G40,Credibility,2,0)*VLOOKUP(Analysis!H40,Reliability,2,0)*VLOOKUP(Analysis!I40,Relavancy,2,0))</f>
        <v>0</v>
      </c>
      <c r="C38" s="55">
        <f>IF(ISBLANK(Analysis!B40),0,VLOOKUP(Analysis!K40,Determination,2,0)*VLOOKUP(Analysis!G40,Credibility,2,0)*VLOOKUP(Analysis!H40,Reliability,2,0)*VLOOKUP(Analysis!I40,Relavancy,2,0))</f>
        <v>0</v>
      </c>
      <c r="D38" s="55">
        <f>IF(ISBLANK(Analysis!B40),0,VLOOKUP(Analysis!L40,Determination,2,0)*VLOOKUP(Analysis!G40,Credibility,2,0)*VLOOKUP(Analysis!H40,Reliability,2,0)*VLOOKUP(Analysis!I40,Relavancy,2,0))</f>
        <v>0</v>
      </c>
      <c r="E38" s="55">
        <f>IF(ISBLANK(Analysis!B40),0,VLOOKUP(Analysis!M40,Determination,2,0)*VLOOKUP(Analysis!G40,Credibility,2,0)*VLOOKUP(Analysis!H40,Reliability,2,0)*VLOOKUP(Analysis!I40,Relavancy,2,0))</f>
        <v>0</v>
      </c>
      <c r="F38" s="55">
        <f>IF(ISBLANK(Analysis!B40),0,VLOOKUP(Analysis!N40,Determination,2,0)*VLOOKUP(Analysis!G40,Credibility,2,0)*VLOOKUP(Analysis!H40,Reliability,2,0)*VLOOKUP(Analysis!I40,Relavancy,2,0))</f>
        <v>0</v>
      </c>
    </row>
    <row r="39" spans="1:6">
      <c r="A39" s="53" t="s">
        <v>60</v>
      </c>
      <c r="B39" s="55">
        <f>IF(ISBLANK(Analysis!B41),0,VLOOKUP(Analysis!J41,Determination,2,0)*VLOOKUP(Analysis!G41,Credibility,2,0)*VLOOKUP(Analysis!H41,Reliability,2,0)*VLOOKUP(Analysis!I41,Relavancy,2,0))</f>
        <v>0</v>
      </c>
      <c r="C39" s="55">
        <f>IF(ISBLANK(Analysis!B41),0,VLOOKUP(Analysis!K41,Determination,2,0)*VLOOKUP(Analysis!G41,Credibility,2,0)*VLOOKUP(Analysis!H41,Reliability,2,0)*VLOOKUP(Analysis!I41,Relavancy,2,0))</f>
        <v>0</v>
      </c>
      <c r="D39" s="55">
        <f>IF(ISBLANK(Analysis!B41),0,VLOOKUP(Analysis!L41,Determination,2,0)*VLOOKUP(Analysis!G41,Credibility,2,0)*VLOOKUP(Analysis!H41,Reliability,2,0)*VLOOKUP(Analysis!I41,Relavancy,2,0))</f>
        <v>0</v>
      </c>
      <c r="E39" s="55">
        <f>IF(ISBLANK(Analysis!B41),0,VLOOKUP(Analysis!M41,Determination,2,0)*VLOOKUP(Analysis!G41,Credibility,2,0)*VLOOKUP(Analysis!H41,Reliability,2,0)*VLOOKUP(Analysis!I41,Relavancy,2,0))</f>
        <v>0</v>
      </c>
      <c r="F39" s="55">
        <f>IF(ISBLANK(Analysis!B41),0,VLOOKUP(Analysis!N41,Determination,2,0)*VLOOKUP(Analysis!G41,Credibility,2,0)*VLOOKUP(Analysis!H41,Reliability,2,0)*VLOOKUP(Analysis!I41,Relavancy,2,0))</f>
        <v>0</v>
      </c>
    </row>
    <row r="40" spans="1:6">
      <c r="A40" s="53" t="s">
        <v>61</v>
      </c>
      <c r="B40" s="55">
        <f>IF(ISBLANK(Analysis!B42),0,VLOOKUP(Analysis!J42,Determination,2,0)*VLOOKUP(Analysis!G42,Credibility,2,0)*VLOOKUP(Analysis!H42,Reliability,2,0)*VLOOKUP(Analysis!I42,Relavancy,2,0))</f>
        <v>0</v>
      </c>
      <c r="C40" s="55">
        <f>IF(ISBLANK(Analysis!B42),0,VLOOKUP(Analysis!K42,Determination,2,0)*VLOOKUP(Analysis!G42,Credibility,2,0)*VLOOKUP(Analysis!H42,Reliability,2,0)*VLOOKUP(Analysis!I42,Relavancy,2,0))</f>
        <v>0</v>
      </c>
      <c r="D40" s="55">
        <f>IF(ISBLANK(Analysis!B42),0,VLOOKUP(Analysis!L42,Determination,2,0)*VLOOKUP(Analysis!G42,Credibility,2,0)*VLOOKUP(Analysis!H42,Reliability,2,0)*VLOOKUP(Analysis!I42,Relavancy,2,0))</f>
        <v>0</v>
      </c>
      <c r="E40" s="55">
        <f>IF(ISBLANK(Analysis!B42),0,VLOOKUP(Analysis!M42,Determination,2,0)*VLOOKUP(Analysis!G42,Credibility,2,0)*VLOOKUP(Analysis!H42,Reliability,2,0)*VLOOKUP(Analysis!I42,Relavancy,2,0))</f>
        <v>0</v>
      </c>
      <c r="F40" s="55">
        <f>IF(ISBLANK(Analysis!B42),0,VLOOKUP(Analysis!N42,Determination,2,0)*VLOOKUP(Analysis!G42,Credibility,2,0)*VLOOKUP(Analysis!H42,Reliability,2,0)*VLOOKUP(Analysis!I42,Relavancy,2,0))</f>
        <v>0</v>
      </c>
    </row>
    <row r="41" spans="1:6">
      <c r="A41" s="53" t="s">
        <v>62</v>
      </c>
      <c r="B41" s="55">
        <f>IF(ISBLANK(Analysis!B43),0,VLOOKUP(Analysis!J43,Determination,2,0)*VLOOKUP(Analysis!G43,Credibility,2,0)*VLOOKUP(Analysis!H43,Reliability,2,0)*VLOOKUP(Analysis!I43,Relavancy,2,0))</f>
        <v>0</v>
      </c>
      <c r="C41" s="55">
        <f>IF(ISBLANK(Analysis!B43),0,VLOOKUP(Analysis!K43,Determination,2,0)*VLOOKUP(Analysis!G43,Credibility,2,0)*VLOOKUP(Analysis!H43,Reliability,2,0)*VLOOKUP(Analysis!I43,Relavancy,2,0))</f>
        <v>0</v>
      </c>
      <c r="D41" s="55">
        <f>IF(ISBLANK(Analysis!B43),0,VLOOKUP(Analysis!L43,Determination,2,0)*VLOOKUP(Analysis!G43,Credibility,2,0)*VLOOKUP(Analysis!H43,Reliability,2,0)*VLOOKUP(Analysis!I43,Relavancy,2,0))</f>
        <v>0</v>
      </c>
      <c r="E41" s="55">
        <f>IF(ISBLANK(Analysis!B43),0,VLOOKUP(Analysis!M43,Determination,2,0)*VLOOKUP(Analysis!G43,Credibility,2,0)*VLOOKUP(Analysis!H43,Reliability,2,0)*VLOOKUP(Analysis!I43,Relavancy,2,0))</f>
        <v>0</v>
      </c>
      <c r="F41" s="55">
        <f>IF(ISBLANK(Analysis!B43),0,VLOOKUP(Analysis!N43,Determination,2,0)*VLOOKUP(Analysis!G43,Credibility,2,0)*VLOOKUP(Analysis!H43,Reliability,2,0)*VLOOKUP(Analysis!I43,Relavancy,2,0))</f>
        <v>0</v>
      </c>
    </row>
    <row r="42" spans="1:6">
      <c r="A42" s="53" t="s">
        <v>63</v>
      </c>
      <c r="B42" s="55">
        <f>IF(ISBLANK(Analysis!B44),0,VLOOKUP(Analysis!J44,Determination,2,0)*VLOOKUP(Analysis!G44,Credibility,2,0)*VLOOKUP(Analysis!H44,Reliability,2,0)*VLOOKUP(Analysis!I44,Relavancy,2,0))</f>
        <v>0</v>
      </c>
      <c r="C42" s="55">
        <f>IF(ISBLANK(Analysis!B44),0,VLOOKUP(Analysis!K44,Determination,2,0)*VLOOKUP(Analysis!G44,Credibility,2,0)*VLOOKUP(Analysis!H44,Reliability,2,0)*VLOOKUP(Analysis!I44,Relavancy,2,0))</f>
        <v>0</v>
      </c>
      <c r="D42" s="55">
        <f>IF(ISBLANK(Analysis!B44),0,VLOOKUP(Analysis!L44,Determination,2,0)*VLOOKUP(Analysis!G44,Credibility,2,0)*VLOOKUP(Analysis!H44,Reliability,2,0)*VLOOKUP(Analysis!I44,Relavancy,2,0))</f>
        <v>0</v>
      </c>
      <c r="E42" s="55">
        <f>IF(ISBLANK(Analysis!B44),0,VLOOKUP(Analysis!M44,Determination,2,0)*VLOOKUP(Analysis!G44,Credibility,2,0)*VLOOKUP(Analysis!H44,Reliability,2,0)*VLOOKUP(Analysis!I44,Relavancy,2,0))</f>
        <v>0</v>
      </c>
      <c r="F42" s="55">
        <f>IF(ISBLANK(Analysis!B44),0,VLOOKUP(Analysis!N44,Determination,2,0)*VLOOKUP(Analysis!G44,Credibility,2,0)*VLOOKUP(Analysis!H44,Reliability,2,0)*VLOOKUP(Analysis!I44,Relavancy,2,0))</f>
        <v>0</v>
      </c>
    </row>
    <row r="43" spans="1:6">
      <c r="A43" s="53" t="s">
        <v>64</v>
      </c>
      <c r="B43" s="55">
        <f>IF(ISBLANK(Analysis!B45),0,VLOOKUP(Analysis!J45,Determination,2,0)*VLOOKUP(Analysis!G45,Credibility,2,0)*VLOOKUP(Analysis!H45,Reliability,2,0)*VLOOKUP(Analysis!I45,Relavancy,2,0))</f>
        <v>0</v>
      </c>
      <c r="C43" s="55">
        <f>IF(ISBLANK(Analysis!B45),0,VLOOKUP(Analysis!K45,Determination,2,0)*VLOOKUP(Analysis!G45,Credibility,2,0)*VLOOKUP(Analysis!H45,Reliability,2,0)*VLOOKUP(Analysis!I45,Relavancy,2,0))</f>
        <v>0</v>
      </c>
      <c r="D43" s="55">
        <f>IF(ISBLANK(Analysis!B45),0,VLOOKUP(Analysis!L45,Determination,2,0)*VLOOKUP(Analysis!G45,Credibility,2,0)*VLOOKUP(Analysis!H45,Reliability,2,0)*VLOOKUP(Analysis!I45,Relavancy,2,0))</f>
        <v>0</v>
      </c>
      <c r="E43" s="55">
        <f>IF(ISBLANK(Analysis!B45),0,VLOOKUP(Analysis!M45,Determination,2,0)*VLOOKUP(Analysis!G45,Credibility,2,0)*VLOOKUP(Analysis!H45,Reliability,2,0)*VLOOKUP(Analysis!I45,Relavancy,2,0))</f>
        <v>0</v>
      </c>
      <c r="F43" s="55">
        <f>IF(ISBLANK(Analysis!B45),0,VLOOKUP(Analysis!N45,Determination,2,0)*VLOOKUP(Analysis!G45,Credibility,2,0)*VLOOKUP(Analysis!H45,Reliability,2,0)*VLOOKUP(Analysis!I45,Relavancy,2,0))</f>
        <v>0</v>
      </c>
    </row>
    <row r="44" spans="1:6">
      <c r="A44" s="53" t="s">
        <v>65</v>
      </c>
      <c r="B44" s="55">
        <f>IF(ISBLANK(Analysis!B46),0,VLOOKUP(Analysis!J46,Determination,2,0)*VLOOKUP(Analysis!G46,Credibility,2,0)*VLOOKUP(Analysis!H46,Reliability,2,0)*VLOOKUP(Analysis!I46,Relavancy,2,0))</f>
        <v>0</v>
      </c>
      <c r="C44" s="55">
        <f>IF(ISBLANK(Analysis!B46),0,VLOOKUP(Analysis!K46,Determination,2,0)*VLOOKUP(Analysis!G46,Credibility,2,0)*VLOOKUP(Analysis!H46,Reliability,2,0)*VLOOKUP(Analysis!I46,Relavancy,2,0))</f>
        <v>0</v>
      </c>
      <c r="D44" s="55">
        <f>IF(ISBLANK(Analysis!B46),0,VLOOKUP(Analysis!L46,Determination,2,0)*VLOOKUP(Analysis!G46,Credibility,2,0)*VLOOKUP(Analysis!H46,Reliability,2,0)*VLOOKUP(Analysis!I46,Relavancy,2,0))</f>
        <v>0</v>
      </c>
      <c r="E44" s="55">
        <f>IF(ISBLANK(Analysis!B46),0,VLOOKUP(Analysis!M46,Determination,2,0)*VLOOKUP(Analysis!G46,Credibility,2,0)*VLOOKUP(Analysis!H46,Reliability,2,0)*VLOOKUP(Analysis!I46,Relavancy,2,0))</f>
        <v>0</v>
      </c>
      <c r="F44" s="55">
        <f>IF(ISBLANK(Analysis!B46),0,VLOOKUP(Analysis!N46,Determination,2,0)*VLOOKUP(Analysis!G46,Credibility,2,0)*VLOOKUP(Analysis!H46,Reliability,2,0)*VLOOKUP(Analysis!I46,Relavancy,2,0))</f>
        <v>0</v>
      </c>
    </row>
    <row r="45" spans="1:6">
      <c r="A45" s="53" t="s">
        <v>66</v>
      </c>
      <c r="B45" s="55">
        <f>IF(ISBLANK(Analysis!B47),0,VLOOKUP(Analysis!J47,Determination,2,0)*VLOOKUP(Analysis!G47,Credibility,2,0)*VLOOKUP(Analysis!H47,Reliability,2,0)*VLOOKUP(Analysis!I47,Relavancy,2,0))</f>
        <v>0</v>
      </c>
      <c r="C45" s="55">
        <f>IF(ISBLANK(Analysis!B47),0,VLOOKUP(Analysis!K47,Determination,2,0)*VLOOKUP(Analysis!G47,Credibility,2,0)*VLOOKUP(Analysis!H47,Reliability,2,0)*VLOOKUP(Analysis!I47,Relavancy,2,0))</f>
        <v>0</v>
      </c>
      <c r="D45" s="55">
        <f>IF(ISBLANK(Analysis!B47),0,VLOOKUP(Analysis!L47,Determination,2,0)*VLOOKUP(Analysis!G47,Credibility,2,0)*VLOOKUP(Analysis!H47,Reliability,2,0)*VLOOKUP(Analysis!I47,Relavancy,2,0))</f>
        <v>0</v>
      </c>
      <c r="E45" s="55">
        <f>IF(ISBLANK(Analysis!B47),0,VLOOKUP(Analysis!M47,Determination,2,0)*VLOOKUP(Analysis!G47,Credibility,2,0)*VLOOKUP(Analysis!H47,Reliability,2,0)*VLOOKUP(Analysis!I47,Relavancy,2,0))</f>
        <v>0</v>
      </c>
      <c r="F45" s="55">
        <f>IF(ISBLANK(Analysis!B47),0,VLOOKUP(Analysis!N47,Determination,2,0)*VLOOKUP(Analysis!G47,Credibility,2,0)*VLOOKUP(Analysis!H47,Reliability,2,0)*VLOOKUP(Analysis!I47,Relavancy,2,0))</f>
        <v>0</v>
      </c>
    </row>
    <row r="46" spans="1:6">
      <c r="A46" s="53" t="s">
        <v>67</v>
      </c>
      <c r="B46" s="55">
        <f>IF(ISBLANK(Analysis!B48),0,VLOOKUP(Analysis!J48,Determination,2,0)*VLOOKUP(Analysis!G48,Credibility,2,0)*VLOOKUP(Analysis!H48,Reliability,2,0)*VLOOKUP(Analysis!I48,Relavancy,2,0))</f>
        <v>0</v>
      </c>
      <c r="C46" s="55">
        <f>IF(ISBLANK(Analysis!B48),0,VLOOKUP(Analysis!K48,Determination,2,0)*VLOOKUP(Analysis!G48,Credibility,2,0)*VLOOKUP(Analysis!H48,Reliability,2,0)*VLOOKUP(Analysis!I48,Relavancy,2,0))</f>
        <v>0</v>
      </c>
      <c r="D46" s="55">
        <f>IF(ISBLANK(Analysis!B48),0,VLOOKUP(Analysis!L48,Determination,2,0)*VLOOKUP(Analysis!G48,Credibility,2,0)*VLOOKUP(Analysis!H48,Reliability,2,0)*VLOOKUP(Analysis!I48,Relavancy,2,0))</f>
        <v>0</v>
      </c>
      <c r="E46" s="55">
        <f>IF(ISBLANK(Analysis!B48),0,VLOOKUP(Analysis!M48,Determination,2,0)*VLOOKUP(Analysis!G48,Credibility,2,0)*VLOOKUP(Analysis!H48,Reliability,2,0)*VLOOKUP(Analysis!I48,Relavancy,2,0))</f>
        <v>0</v>
      </c>
      <c r="F46" s="55">
        <f>IF(ISBLANK(Analysis!B48),0,VLOOKUP(Analysis!N48,Determination,2,0)*VLOOKUP(Analysis!G48,Credibility,2,0)*VLOOKUP(Analysis!H48,Reliability,2,0)*VLOOKUP(Analysis!I48,Relavancy,2,0))</f>
        <v>0</v>
      </c>
    </row>
    <row r="47" spans="1:6">
      <c r="A47" s="53" t="s">
        <v>68</v>
      </c>
      <c r="B47" s="55">
        <f>IF(ISBLANK(Analysis!B49),0,VLOOKUP(Analysis!J49,Determination,2,0)*VLOOKUP(Analysis!G49,Credibility,2,0)*VLOOKUP(Analysis!H49,Reliability,2,0)*VLOOKUP(Analysis!I49,Relavancy,2,0))</f>
        <v>0</v>
      </c>
      <c r="C47" s="55">
        <f>IF(ISBLANK(Analysis!B49),0,VLOOKUP(Analysis!K49,Determination,2,0)*VLOOKUP(Analysis!G49,Credibility,2,0)*VLOOKUP(Analysis!H49,Reliability,2,0)*VLOOKUP(Analysis!I49,Relavancy,2,0))</f>
        <v>0</v>
      </c>
      <c r="D47" s="55">
        <f>IF(ISBLANK(Analysis!B49),0,VLOOKUP(Analysis!L49,Determination,2,0)*VLOOKUP(Analysis!G49,Credibility,2,0)*VLOOKUP(Analysis!H49,Reliability,2,0)*VLOOKUP(Analysis!I49,Relavancy,2,0))</f>
        <v>0</v>
      </c>
      <c r="E47" s="55">
        <f>IF(ISBLANK(Analysis!B49),0,VLOOKUP(Analysis!M49,Determination,2,0)*VLOOKUP(Analysis!G49,Credibility,2,0)*VLOOKUP(Analysis!H49,Reliability,2,0)*VLOOKUP(Analysis!I49,Relavancy,2,0))</f>
        <v>0</v>
      </c>
      <c r="F47" s="55">
        <f>IF(ISBLANK(Analysis!B49),0,VLOOKUP(Analysis!N49,Determination,2,0)*VLOOKUP(Analysis!G49,Credibility,2,0)*VLOOKUP(Analysis!H49,Reliability,2,0)*VLOOKUP(Analysis!I49,Relavancy,2,0))</f>
        <v>0</v>
      </c>
    </row>
    <row r="48" spans="1:6">
      <c r="A48" s="53" t="s">
        <v>69</v>
      </c>
      <c r="B48" s="55">
        <f>IF(ISBLANK(Analysis!B50),0,VLOOKUP(Analysis!J50,Determination,2,0)*VLOOKUP(Analysis!G50,Credibility,2,0)*VLOOKUP(Analysis!H50,Reliability,2,0)*VLOOKUP(Analysis!I50,Relavancy,2,0))</f>
        <v>0</v>
      </c>
      <c r="C48" s="55">
        <f>IF(ISBLANK(Analysis!B50),0,VLOOKUP(Analysis!K50,Determination,2,0)*VLOOKUP(Analysis!G50,Credibility,2,0)*VLOOKUP(Analysis!H50,Reliability,2,0)*VLOOKUP(Analysis!I50,Relavancy,2,0))</f>
        <v>0</v>
      </c>
      <c r="D48" s="55">
        <f>IF(ISBLANK(Analysis!B50),0,VLOOKUP(Analysis!L50,Determination,2,0)*VLOOKUP(Analysis!G50,Credibility,2,0)*VLOOKUP(Analysis!H50,Reliability,2,0)*VLOOKUP(Analysis!I50,Relavancy,2,0))</f>
        <v>0</v>
      </c>
      <c r="E48" s="55">
        <f>IF(ISBLANK(Analysis!B50),0,VLOOKUP(Analysis!M50,Determination,2,0)*VLOOKUP(Analysis!G50,Credibility,2,0)*VLOOKUP(Analysis!H50,Reliability,2,0)*VLOOKUP(Analysis!I50,Relavancy,2,0))</f>
        <v>0</v>
      </c>
      <c r="F48" s="55">
        <f>IF(ISBLANK(Analysis!B50),0,VLOOKUP(Analysis!N50,Determination,2,0)*VLOOKUP(Analysis!G50,Credibility,2,0)*VLOOKUP(Analysis!H50,Reliability,2,0)*VLOOKUP(Analysis!I50,Relavancy,2,0))</f>
        <v>0</v>
      </c>
    </row>
    <row r="49" spans="1:6">
      <c r="A49" s="53" t="s">
        <v>70</v>
      </c>
      <c r="B49" s="55">
        <f>IF(ISBLANK(Analysis!B51),0,VLOOKUP(Analysis!J51,Determination,2,0)*VLOOKUP(Analysis!G51,Credibility,2,0)*VLOOKUP(Analysis!H51,Reliability,2,0)*VLOOKUP(Analysis!I51,Relavancy,2,0))</f>
        <v>0</v>
      </c>
      <c r="C49" s="55">
        <f>IF(ISBLANK(Analysis!B51),0,VLOOKUP(Analysis!K51,Determination,2,0)*VLOOKUP(Analysis!G51,Credibility,2,0)*VLOOKUP(Analysis!H51,Reliability,2,0)*VLOOKUP(Analysis!I51,Relavancy,2,0))</f>
        <v>0</v>
      </c>
      <c r="D49" s="55">
        <f>IF(ISBLANK(Analysis!B51),0,VLOOKUP(Analysis!L51,Determination,2,0)*VLOOKUP(Analysis!G51,Credibility,2,0)*VLOOKUP(Analysis!H51,Reliability,2,0)*VLOOKUP(Analysis!I51,Relavancy,2,0))</f>
        <v>0</v>
      </c>
      <c r="E49" s="55">
        <f>IF(ISBLANK(Analysis!B51),0,VLOOKUP(Analysis!M51,Determination,2,0)*VLOOKUP(Analysis!G51,Credibility,2,0)*VLOOKUP(Analysis!H51,Reliability,2,0)*VLOOKUP(Analysis!I51,Relavancy,2,0))</f>
        <v>0</v>
      </c>
      <c r="F49" s="55">
        <f>IF(ISBLANK(Analysis!B51),0,VLOOKUP(Analysis!N51,Determination,2,0)*VLOOKUP(Analysis!G51,Credibility,2,0)*VLOOKUP(Analysis!H51,Reliability,2,0)*VLOOKUP(Analysis!I51,Relavancy,2,0))</f>
        <v>0</v>
      </c>
    </row>
    <row r="50" spans="1:6">
      <c r="A50" s="53" t="s">
        <v>71</v>
      </c>
      <c r="B50" s="55">
        <f>IF(ISBLANK(Analysis!B52),0,VLOOKUP(Analysis!J52,Determination,2,0)*VLOOKUP(Analysis!G52,Credibility,2,0)*VLOOKUP(Analysis!H52,Reliability,2,0)*VLOOKUP(Analysis!I52,Relavancy,2,0))</f>
        <v>0</v>
      </c>
      <c r="C50" s="55">
        <f>IF(ISBLANK(Analysis!B52),0,VLOOKUP(Analysis!K52,Determination,2,0)*VLOOKUP(Analysis!G52,Credibility,2,0)*VLOOKUP(Analysis!H52,Reliability,2,0)*VLOOKUP(Analysis!I52,Relavancy,2,0))</f>
        <v>0</v>
      </c>
      <c r="D50" s="55">
        <f>IF(ISBLANK(Analysis!B52),0,VLOOKUP(Analysis!L52,Determination,2,0)*VLOOKUP(Analysis!G52,Credibility,2,0)*VLOOKUP(Analysis!H52,Reliability,2,0)*VLOOKUP(Analysis!I52,Relavancy,2,0))</f>
        <v>0</v>
      </c>
      <c r="E50" s="55">
        <f>IF(ISBLANK(Analysis!B52),0,VLOOKUP(Analysis!M52,Determination,2,0)*VLOOKUP(Analysis!G52,Credibility,2,0)*VLOOKUP(Analysis!H52,Reliability,2,0)*VLOOKUP(Analysis!I52,Relavancy,2,0))</f>
        <v>0</v>
      </c>
      <c r="F50" s="55">
        <f>IF(ISBLANK(Analysis!B52),0,VLOOKUP(Analysis!N52,Determination,2,0)*VLOOKUP(Analysis!G52,Credibility,2,0)*VLOOKUP(Analysis!H52,Reliability,2,0)*VLOOKUP(Analysis!I52,Relavancy,2,0))</f>
        <v>0</v>
      </c>
    </row>
    <row r="51" spans="1:6">
      <c r="A51" s="53" t="s">
        <v>72</v>
      </c>
      <c r="B51" s="55">
        <f>IF(ISBLANK(Analysis!B53),0,VLOOKUP(Analysis!J53,Determination,2,0)*VLOOKUP(Analysis!G53,Credibility,2,0)*VLOOKUP(Analysis!H53,Reliability,2,0)*VLOOKUP(Analysis!I53,Relavancy,2,0))</f>
        <v>0</v>
      </c>
      <c r="C51" s="55">
        <f>IF(ISBLANK(Analysis!B53),0,VLOOKUP(Analysis!K53,Determination,2,0)*VLOOKUP(Analysis!G53,Credibility,2,0)*VLOOKUP(Analysis!H53,Reliability,2,0)*VLOOKUP(Analysis!I53,Relavancy,2,0))</f>
        <v>0</v>
      </c>
      <c r="D51" s="55">
        <f>IF(ISBLANK(Analysis!B53),0,VLOOKUP(Analysis!L53,Determination,2,0)*VLOOKUP(Analysis!G53,Credibility,2,0)*VLOOKUP(Analysis!H53,Reliability,2,0)*VLOOKUP(Analysis!I53,Relavancy,2,0))</f>
        <v>0</v>
      </c>
      <c r="E51" s="55">
        <f>IF(ISBLANK(Analysis!B53),0,VLOOKUP(Analysis!M53,Determination,2,0)*VLOOKUP(Analysis!G53,Credibility,2,0)*VLOOKUP(Analysis!H53,Reliability,2,0)*VLOOKUP(Analysis!I53,Relavancy,2,0))</f>
        <v>0</v>
      </c>
      <c r="F51" s="55">
        <f>IF(ISBLANK(Analysis!B53),0,VLOOKUP(Analysis!N53,Determination,2,0)*VLOOKUP(Analysis!G53,Credibility,2,0)*VLOOKUP(Analysis!H53,Reliability,2,0)*VLOOKUP(Analysis!I53,Relavancy,2,0))</f>
        <v>0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Analysis</vt:lpstr>
      <vt:lpstr>Results</vt:lpstr>
      <vt:lpstr>Labels</vt:lpstr>
      <vt:lpstr>Calculations</vt:lpstr>
      <vt:lpstr>Credibility</vt:lpstr>
      <vt:lpstr>Determination</vt:lpstr>
      <vt:lpstr>Relavancy</vt:lpstr>
      <vt:lpstr>Reliability</vt:lpstr>
    </vt:vector>
  </TitlesOfParts>
  <Manager/>
  <Company>EclecticIQ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Joe Woodruff</dc:creator>
  <cp:keywords/>
  <dc:description>Template version 1.2 - 18 January 2019_x000d_
Design: Peter van Driel_x000d_
Templates: www.JoulesUnlimited.com</dc:description>
  <cp:lastModifiedBy>Joe Woodruff</cp:lastModifiedBy>
  <dcterms:created xsi:type="dcterms:W3CDTF">2018-12-18T11:21:21Z</dcterms:created>
  <dcterms:modified xsi:type="dcterms:W3CDTF">2019-11-14T08:29:27Z</dcterms:modified>
  <cp:category/>
</cp:coreProperties>
</file>